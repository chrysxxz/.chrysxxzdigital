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Venda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Produtos" sheetId="4" state="visible" r:id="rId4"/>
    <sheet xmlns:r="http://schemas.openxmlformats.org/officeDocument/2006/relationships" name="Financeiro" sheetId="5" state="visible" r:id="rId5"/>
    <sheet xmlns:r="http://schemas.openxmlformats.org/officeDocument/2006/relationships" name="Met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R$ #,##0.00"/>
    <numFmt numFmtId="167" formatCode="0.0%"/>
  </numFmts>
  <fonts count="10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71827E"/>
    </font>
    <font>
      <name val="Aptos"/>
      <b val="1"/>
      <color rgb="00FFFFFF"/>
    </font>
    <font>
      <b val="1"/>
      <color rgb="00FFFFFF"/>
      <sz val="26"/>
    </font>
    <font>
      <b val="1"/>
      <color rgb="002F6F64"/>
      <sz val="11"/>
    </font>
    <font>
      <b val="1"/>
      <color rgb="0071827E"/>
    </font>
    <font>
      <b val="1"/>
      <color rgb="00173F3A"/>
      <sz val="19"/>
    </font>
    <font>
      <b val="1"/>
      <color rgb="0018302D"/>
      <sz val="14"/>
    </font>
    <font>
      <i val="1"/>
      <color rgb="0071827E"/>
      <sz val="9"/>
    </font>
  </fonts>
  <fills count="4">
    <fill>
      <patternFill/>
    </fill>
    <fill>
      <patternFill patternType="gray125"/>
    </fill>
    <fill>
      <patternFill patternType="solid">
        <fgColor rgb="00173F3A"/>
      </patternFill>
    </fill>
    <fill>
      <patternFill patternType="solid">
        <fgColor rgb="00EE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3" borderId="0" pivotButton="0" quotePrefix="0" xfId="0"/>
    <xf numFmtId="166" fontId="7" fillId="3" borderId="0" applyAlignment="1" pivotButton="0" quotePrefix="0" xfId="0">
      <alignment vertical="center"/>
    </xf>
    <xf numFmtId="3" fontId="7" fillId="3" borderId="0" applyAlignment="1" pivotButton="0" quotePrefix="0" xfId="0">
      <alignment vertical="center"/>
    </xf>
    <xf numFmtId="0" fontId="8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9" fillId="0" borderId="0" applyAlignment="1" pivotButton="0" quotePrefix="0" xfId="0">
      <alignment horizontal="center" vertical="center" wrapText="1"/>
    </xf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Evolução mensal</a:t>
            </a:r>
          </a:p>
        </rich>
      </tx>
    </title>
    <plotArea>
      <lineChart>
        <grouping val="standard"/>
        <ser>
          <idx val="0"/>
          <order val="0"/>
          <tx>
            <strRef>
              <f>'Financeiro'!B4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'Financeiro'!$A$5:$A$13</f>
            </numRef>
          </cat>
          <val>
            <numRef>
              <f>'Financeiro'!$B$5:$B$13</f>
            </numRef>
          </val>
        </ser>
        <ser>
          <idx val="1"/>
          <order val="1"/>
          <tx>
            <strRef>
              <f>'Financeiro'!C4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'Financeiro'!$A$5:$A$13</f>
            </numRef>
          </cat>
          <val>
            <numRef>
              <f>'Financeiro'!$C$5:$C$13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Mix de receita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'Dashboard'!K20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'Dashboard'!$J$21:$J$24</f>
            </numRef>
          </cat>
          <val>
            <numRef>
              <f>'Dashboard'!$K$21:$K$24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9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elaVendas" displayName="TabelaVendas" ref="A4:L124" headerRowCount="1">
  <autoFilter ref="A4:L124"/>
  <tableColumns count="12">
    <tableColumn id="1" name="Data"/>
    <tableColumn id="2" name="ID Venda"/>
    <tableColumn id="3" name="Cliente"/>
    <tableColumn id="4" name="Produto"/>
    <tableColumn id="5" name="Categoria"/>
    <tableColumn id="6" name="Qtd."/>
    <tableColumn id="7" name="Preço Unit."/>
    <tableColumn id="8" name="Desconto"/>
    <tableColumn id="9" name="Total"/>
    <tableColumn id="10" name="Canal"/>
    <tableColumn id="11" name="Vendedor"/>
    <tableColumn id="12" name="Pagamento"/>
  </tableColumns>
  <tableStyleInfo name="TableStyleMedium4" showRowStripes="1" showColumnStripes="0"/>
</table>
</file>

<file path=xl/tables/table2.xml><?xml version="1.0" encoding="utf-8"?>
<table xmlns="http://schemas.openxmlformats.org/spreadsheetml/2006/main" id="2" name="TabelaClientes" displayName="TabelaClientes" ref="A4:I24" headerRowCount="1">
  <autoFilter ref="A4:I24"/>
  <tableColumns count="9">
    <tableColumn id="1" name="ID"/>
    <tableColumn id="2" name="Cliente"/>
    <tableColumn id="3" name="E-mail"/>
    <tableColumn id="4" name="Cidade"/>
    <tableColumn id="5" name="Origem"/>
    <tableColumn id="6" name="Status"/>
    <tableColumn id="7" name="Interesse"/>
    <tableColumn id="8" name="Valor acumulado"/>
    <tableColumn id="9" name="Última compra"/>
  </tableColumns>
  <tableStyleInfo name="TableStyleMedium4" showRowStripes="1" showColumnStripes="0"/>
</table>
</file>

<file path=xl/tables/table3.xml><?xml version="1.0" encoding="utf-8"?>
<table xmlns="http://schemas.openxmlformats.org/spreadsheetml/2006/main" id="3" name="TabelaProdutos" displayName="TabelaProdutos" ref="A4:E14" headerRowCount="1">
  <autoFilter ref="A4:E14"/>
  <tableColumns count="5">
    <tableColumn id="1" name="Produto"/>
    <tableColumn id="2" name="Categoria"/>
    <tableColumn id="3" name="Preço"/>
    <tableColumn id="4" name="Estoque"/>
    <tableColumn id="5" name="Status"/>
  </tableColumns>
  <tableStyleInfo name="TableStyleMedium4" showRowStripes="1" showColumnStripes="0"/>
</table>
</file>

<file path=xl/tables/table4.xml><?xml version="1.0" encoding="utf-8"?>
<table xmlns="http://schemas.openxmlformats.org/spreadsheetml/2006/main" id="4" name="TabelaFinanceiro" displayName="TabelaFinanceiro" ref="A4:E13" headerRowCount="1">
  <autoFilter ref="A4:E13"/>
  <tableColumns count="5">
    <tableColumn id="1" name="Mês"/>
    <tableColumn id="2" name="Receita"/>
    <tableColumn id="3" name="Despesas"/>
    <tableColumn id="4" name="Resultado"/>
    <tableColumn id="5" name="Margem"/>
  </tableColumns>
  <tableStyleInfo name="TableStyleMedium4" showRowStripes="1" showColumnStripes="0"/>
</table>
</file>

<file path=xl/tables/table5.xml><?xml version="1.0" encoding="utf-8"?>
<table xmlns="http://schemas.openxmlformats.org/spreadsheetml/2006/main" id="5" name="TabelaMetas" displayName="TabelaMetas" ref="A4:F13" headerRowCount="1">
  <autoFilter ref="A4:F13"/>
  <tableColumns count="6">
    <tableColumn id="1" name="Mês"/>
    <tableColumn id="2" name="Meta"/>
    <tableColumn id="3" name="Realizado"/>
    <tableColumn id="4" name="% da meta"/>
    <tableColumn id="5" name="Despesas"/>
    <tableColumn id="6" name="Resultado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tabColor rgb="00D6A85F"/>
    <outlinePr summaryBelow="1" summaryRight="1"/>
    <pageSetUpPr/>
  </sheetPr>
  <dimension ref="A1:L3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NOVALE Casa &amp; Design</t>
        </is>
      </c>
    </row>
    <row r="2"/>
    <row r="3">
      <c r="A3" s="2" t="inlineStr">
        <is>
          <t>PAINEL EXECUTIVO  •  visão comercial, financeira e operacional</t>
        </is>
      </c>
    </row>
    <row r="5">
      <c r="A5" s="3" t="inlineStr">
        <is>
          <t>Faturamento</t>
        </is>
      </c>
      <c r="D5" s="3" t="inlineStr">
        <is>
          <t>Vendas</t>
        </is>
      </c>
      <c r="G5" s="3" t="inlineStr">
        <is>
          <t>Clientes</t>
        </is>
      </c>
      <c r="J5" s="3" t="inlineStr">
        <is>
          <t>Ticket médio</t>
        </is>
      </c>
    </row>
    <row r="6">
      <c r="A6" s="4">
        <f>SUM(Vendas!I5:I124)</f>
        <v/>
      </c>
      <c r="D6" s="5">
        <f>COUNTA(Vendas!B5:B124)</f>
        <v/>
      </c>
      <c r="G6" s="5">
        <f>COUNTA(Clientes!A5:A24)</f>
        <v/>
      </c>
      <c r="J6" s="4">
        <f>AVERAGE(Vendas!I5:I124)</f>
        <v/>
      </c>
    </row>
    <row r="7"/>
    <row r="9">
      <c r="A9" s="6" t="inlineStr">
        <is>
          <t>Receita x despesas</t>
        </is>
      </c>
      <c r="G9" s="6" t="inlineStr">
        <is>
          <t>Vendas por categoria</t>
        </is>
      </c>
    </row>
    <row r="20">
      <c r="J20" t="inlineStr">
        <is>
          <t>Categoria</t>
        </is>
      </c>
      <c r="K20" t="inlineStr">
        <is>
          <t>Total</t>
        </is>
      </c>
    </row>
    <row r="21">
      <c r="J21" t="inlineStr">
        <is>
          <t>Móveis</t>
        </is>
      </c>
      <c r="K21" s="7" t="n">
        <v>86372.50000000004</v>
      </c>
    </row>
    <row r="22">
      <c r="J22" t="inlineStr">
        <is>
          <t>Decoração</t>
        </is>
      </c>
      <c r="K22" s="7" t="n">
        <v>13922.63</v>
      </c>
    </row>
    <row r="23">
      <c r="J23" t="inlineStr">
        <is>
          <t>Iluminação</t>
        </is>
      </c>
      <c r="K23" s="7" t="n">
        <v>12415.56</v>
      </c>
    </row>
    <row r="24">
      <c r="J24" t="inlineStr">
        <is>
          <t>Têxtil</t>
        </is>
      </c>
      <c r="K24" s="7" t="n">
        <v>11617.46</v>
      </c>
    </row>
    <row r="25">
      <c r="A25" s="6" t="inlineStr">
        <is>
          <t>Performance por vendedor</t>
        </is>
      </c>
      <c r="G25" s="6" t="inlineStr">
        <is>
          <t>Leitura rápida</t>
        </is>
      </c>
    </row>
    <row r="26">
      <c r="A26" t="inlineStr">
        <is>
          <t>Vendedor</t>
        </is>
      </c>
      <c r="B26" t="inlineStr">
        <is>
          <t>Faturamento</t>
        </is>
      </c>
      <c r="G26" s="8" t="inlineStr">
        <is>
          <t>• Receita apresenta trajetória crescente ao longo do período.</t>
        </is>
      </c>
    </row>
    <row r="27">
      <c r="A27" t="inlineStr">
        <is>
          <t>Camila</t>
        </is>
      </c>
      <c r="B27" s="7" t="n">
        <v>46565.34000000002</v>
      </c>
      <c r="G27" s="8" t="inlineStr">
        <is>
          <t>• Móveis e decoração concentram boa parte do faturamento.</t>
        </is>
      </c>
    </row>
    <row r="28">
      <c r="A28" t="inlineStr">
        <is>
          <t>Marina</t>
        </is>
      </c>
      <c r="B28" s="7" t="n">
        <v>40544.8</v>
      </c>
      <c r="G28" s="8" t="inlineStr">
        <is>
          <t>• Instagram, indicação e WhatsApp são canais recorrentes na base.</t>
        </is>
      </c>
    </row>
    <row r="29">
      <c r="A29" t="inlineStr">
        <is>
          <t>Rafael</t>
        </is>
      </c>
      <c r="B29" s="7" t="n">
        <v>37218.00999999999</v>
      </c>
      <c r="G29" s="8" t="inlineStr">
        <is>
          <t>• Itens com estoque baixo devem entrar no próximo ciclo de reposição.</t>
        </is>
      </c>
    </row>
    <row r="34">
      <c r="A34" s="9" t="inlineStr">
        <is>
          <t>DEMONSTRAÇÃO DE PORTFÓLIO • Todos os dados desta planilha são fictícios e foram criados exclusivamente para apresentação.</t>
        </is>
      </c>
    </row>
    <row r="35"/>
  </sheetData>
  <mergeCells count="15">
    <mergeCell ref="J5:L5"/>
    <mergeCell ref="A6:C7"/>
    <mergeCell ref="G6:I7"/>
    <mergeCell ref="D6:F7"/>
    <mergeCell ref="J6:L7"/>
    <mergeCell ref="G27:L27"/>
    <mergeCell ref="D5:F5"/>
    <mergeCell ref="A5:C5"/>
    <mergeCell ref="G5:I5"/>
    <mergeCell ref="G28:L28"/>
    <mergeCell ref="G26:L26"/>
    <mergeCell ref="A1:L2"/>
    <mergeCell ref="A3:L3"/>
    <mergeCell ref="G29:L29"/>
    <mergeCell ref="A34:L35"/>
  </mergeCells>
  <conditionalFormatting sqref="B27:B29">
    <cfRule type="dataBar" priority="1">
      <dataBar>
        <cfvo type="min"/>
        <cfvo type="max"/>
        <color rgb="002F6F64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73F3A"/>
    <outlinePr summaryBelow="1" summaryRight="1"/>
    <pageSetUpPr/>
  </sheetPr>
  <dimension ref="A1:L1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22" customWidth="1" min="4" max="4"/>
    <col width="16" customWidth="1" min="5" max="5"/>
    <col width="8" customWidth="1" min="6" max="6"/>
    <col width="14" customWidth="1" min="7" max="7"/>
    <col width="11" customWidth="1" min="8" max="8"/>
    <col width="14" customWidth="1" min="9" max="9"/>
    <col width="15" customWidth="1" min="10" max="10"/>
    <col width="14" customWidth="1" min="11" max="11"/>
    <col width="13" customWidth="1" min="12" max="12"/>
  </cols>
  <sheetData>
    <row r="1">
      <c r="A1" s="10" t="inlineStr">
        <is>
          <t>NOVALE Casa &amp; Design | Registro de vendas</t>
        </is>
      </c>
    </row>
    <row r="2"/>
    <row r="3">
      <c r="A3" s="11" t="inlineStr">
        <is>
          <t>Base demonstrativa com dados fictícios.</t>
        </is>
      </c>
    </row>
    <row r="4">
      <c r="A4" s="12" t="inlineStr">
        <is>
          <t>Data</t>
        </is>
      </c>
      <c r="B4" s="12" t="inlineStr">
        <is>
          <t>ID Venda</t>
        </is>
      </c>
      <c r="C4" s="12" t="inlineStr">
        <is>
          <t>Cliente</t>
        </is>
      </c>
      <c r="D4" s="12" t="inlineStr">
        <is>
          <t>Produto</t>
        </is>
      </c>
      <c r="E4" s="12" t="inlineStr">
        <is>
          <t>Categoria</t>
        </is>
      </c>
      <c r="F4" s="12" t="inlineStr">
        <is>
          <t>Qtd.</t>
        </is>
      </c>
      <c r="G4" s="12" t="inlineStr">
        <is>
          <t>Preço Unit.</t>
        </is>
      </c>
      <c r="H4" s="12" t="inlineStr">
        <is>
          <t>Desconto</t>
        </is>
      </c>
      <c r="I4" s="12" t="inlineStr">
        <is>
          <t>Total</t>
        </is>
      </c>
      <c r="J4" s="12" t="inlineStr">
        <is>
          <t>Canal</t>
        </is>
      </c>
      <c r="K4" s="12" t="inlineStr">
        <is>
          <t>Vendedor</t>
        </is>
      </c>
      <c r="L4" s="12" t="inlineStr">
        <is>
          <t>Pagamento</t>
        </is>
      </c>
    </row>
    <row r="5">
      <c r="A5" s="13" t="n">
        <v>46081</v>
      </c>
      <c r="B5" t="inlineStr">
        <is>
          <t>VD-1001</t>
        </is>
      </c>
      <c r="C5" t="inlineStr">
        <is>
          <t>Felipe Mendes</t>
        </is>
      </c>
      <c r="D5" t="inlineStr">
        <is>
          <t>Mesa Nórdica</t>
        </is>
      </c>
      <c r="E5" t="inlineStr">
        <is>
          <t>Móveis</t>
        </is>
      </c>
      <c r="F5" t="n">
        <v>1</v>
      </c>
      <c r="G5" s="7" t="n">
        <v>1890</v>
      </c>
      <c r="H5" s="14" t="n">
        <v>0</v>
      </c>
      <c r="I5" s="7" t="n">
        <v>1890</v>
      </c>
      <c r="J5" t="inlineStr">
        <is>
          <t>Indicação</t>
        </is>
      </c>
      <c r="K5" t="inlineStr">
        <is>
          <t>Camila</t>
        </is>
      </c>
      <c r="L5" t="inlineStr">
        <is>
          <t>Pix</t>
        </is>
      </c>
    </row>
    <row r="6">
      <c r="A6" s="13" t="n">
        <v>46068</v>
      </c>
      <c r="B6" t="inlineStr">
        <is>
          <t>VD-1002</t>
        </is>
      </c>
      <c r="C6" t="inlineStr">
        <is>
          <t>Camila Rocha</t>
        </is>
      </c>
      <c r="D6" t="inlineStr">
        <is>
          <t>Tapete Siena</t>
        </is>
      </c>
      <c r="E6" t="inlineStr">
        <is>
          <t>Têxtil</t>
        </is>
      </c>
      <c r="F6" t="n">
        <v>1</v>
      </c>
      <c r="G6" s="7" t="n">
        <v>799</v>
      </c>
      <c r="H6" s="14" t="n">
        <v>0</v>
      </c>
      <c r="I6" s="7" t="n">
        <v>799</v>
      </c>
      <c r="J6" t="inlineStr">
        <is>
          <t>Indicação</t>
        </is>
      </c>
      <c r="K6" t="inlineStr">
        <is>
          <t>Marina</t>
        </is>
      </c>
      <c r="L6" t="inlineStr">
        <is>
          <t>Boleto</t>
        </is>
      </c>
    </row>
    <row r="7">
      <c r="A7" s="13" t="n">
        <v>46037</v>
      </c>
      <c r="B7" t="inlineStr">
        <is>
          <t>VD-1003</t>
        </is>
      </c>
      <c r="C7" t="inlineStr">
        <is>
          <t>Thiago Oliveira</t>
        </is>
      </c>
      <c r="D7" t="inlineStr">
        <is>
          <t>Luminária Cora</t>
        </is>
      </c>
      <c r="E7" t="inlineStr">
        <is>
          <t>Iluminação</t>
        </is>
      </c>
      <c r="F7" t="n">
        <v>1</v>
      </c>
      <c r="G7" s="7" t="n">
        <v>459</v>
      </c>
      <c r="H7" s="14" t="n">
        <v>0.08</v>
      </c>
      <c r="I7" s="7" t="n">
        <v>422.28</v>
      </c>
      <c r="J7" t="inlineStr">
        <is>
          <t>Indicação</t>
        </is>
      </c>
      <c r="K7" t="inlineStr">
        <is>
          <t>Rafael</t>
        </is>
      </c>
      <c r="L7" t="inlineStr">
        <is>
          <t>Boleto</t>
        </is>
      </c>
    </row>
    <row r="8">
      <c r="A8" s="13" t="n">
        <v>46166</v>
      </c>
      <c r="B8" t="inlineStr">
        <is>
          <t>VD-1004</t>
        </is>
      </c>
      <c r="C8" t="inlineStr">
        <is>
          <t>Thiago Oliveira</t>
        </is>
      </c>
      <c r="D8" t="inlineStr">
        <is>
          <t>Mesa Nórdica</t>
        </is>
      </c>
      <c r="E8" t="inlineStr">
        <is>
          <t>Móveis</t>
        </is>
      </c>
      <c r="F8" t="n">
        <v>2</v>
      </c>
      <c r="G8" s="7" t="n">
        <v>1890</v>
      </c>
      <c r="H8" s="14" t="n">
        <v>0</v>
      </c>
      <c r="I8" s="7" t="n">
        <v>3780</v>
      </c>
      <c r="J8" t="inlineStr">
        <is>
          <t>Google</t>
        </is>
      </c>
      <c r="K8" t="inlineStr">
        <is>
          <t>Rafael</t>
        </is>
      </c>
      <c r="L8" t="inlineStr">
        <is>
          <t>Pix</t>
        </is>
      </c>
    </row>
    <row r="9">
      <c r="A9" s="13" t="n">
        <v>46134</v>
      </c>
      <c r="B9" t="inlineStr">
        <is>
          <t>VD-1005</t>
        </is>
      </c>
      <c r="C9" t="inlineStr">
        <is>
          <t>Lucas Ferreira</t>
        </is>
      </c>
      <c r="D9" t="inlineStr">
        <is>
          <t>Vaso Terra</t>
        </is>
      </c>
      <c r="E9" t="inlineStr">
        <is>
          <t>Decoração</t>
        </is>
      </c>
      <c r="F9" t="n">
        <v>1</v>
      </c>
      <c r="G9" s="7" t="n">
        <v>189</v>
      </c>
      <c r="H9" s="14" t="n">
        <v>0.05</v>
      </c>
      <c r="I9" s="7" t="n">
        <v>179.55</v>
      </c>
      <c r="J9" t="inlineStr">
        <is>
          <t>Google</t>
        </is>
      </c>
      <c r="K9" t="inlineStr">
        <is>
          <t>Rafael</t>
        </is>
      </c>
      <c r="L9" t="inlineStr">
        <is>
          <t>Boleto</t>
        </is>
      </c>
    </row>
    <row r="10">
      <c r="A10" s="13" t="n">
        <v>46159</v>
      </c>
      <c r="B10" t="inlineStr">
        <is>
          <t>VD-1006</t>
        </is>
      </c>
      <c r="C10" t="inlineStr">
        <is>
          <t>Lucas Ferreira</t>
        </is>
      </c>
      <c r="D10" t="inlineStr">
        <is>
          <t>Mesa Nórdica</t>
        </is>
      </c>
      <c r="E10" t="inlineStr">
        <is>
          <t>Móveis</t>
        </is>
      </c>
      <c r="F10" t="n">
        <v>1</v>
      </c>
      <c r="G10" s="7" t="n">
        <v>1890</v>
      </c>
      <c r="H10" s="14" t="n">
        <v>0.08</v>
      </c>
      <c r="I10" s="7" t="n">
        <v>1738.8</v>
      </c>
      <c r="J10" t="inlineStr">
        <is>
          <t>WhatsApp</t>
        </is>
      </c>
      <c r="K10" t="inlineStr">
        <is>
          <t>Marina</t>
        </is>
      </c>
      <c r="L10" t="inlineStr">
        <is>
          <t>Boleto</t>
        </is>
      </c>
    </row>
    <row r="11">
      <c r="A11" s="13" t="n">
        <v>46174</v>
      </c>
      <c r="B11" t="inlineStr">
        <is>
          <t>VD-1007</t>
        </is>
      </c>
      <c r="C11" t="inlineStr">
        <is>
          <t>Valentina Moura</t>
        </is>
      </c>
      <c r="D11" t="inlineStr">
        <is>
          <t>Tapete Siena</t>
        </is>
      </c>
      <c r="E11" t="inlineStr">
        <is>
          <t>Têxtil</t>
        </is>
      </c>
      <c r="F11" t="n">
        <v>2</v>
      </c>
      <c r="G11" s="7" t="n">
        <v>799</v>
      </c>
      <c r="H11" s="14" t="n">
        <v>0.03</v>
      </c>
      <c r="I11" s="7" t="n">
        <v>1550.06</v>
      </c>
      <c r="J11" t="inlineStr">
        <is>
          <t>Indicação</t>
        </is>
      </c>
      <c r="K11" t="inlineStr">
        <is>
          <t>Camila</t>
        </is>
      </c>
      <c r="L11" t="inlineStr">
        <is>
          <t>Pix</t>
        </is>
      </c>
    </row>
    <row r="12">
      <c r="A12" s="13" t="n">
        <v>46047</v>
      </c>
      <c r="B12" t="inlineStr">
        <is>
          <t>VD-1008</t>
        </is>
      </c>
      <c r="C12" t="inlineStr">
        <is>
          <t>Felipe Mendes</t>
        </is>
      </c>
      <c r="D12" t="inlineStr">
        <is>
          <t>Espelho Arco</t>
        </is>
      </c>
      <c r="E12" t="inlineStr">
        <is>
          <t>Decoração</t>
        </is>
      </c>
      <c r="F12" t="n">
        <v>2</v>
      </c>
      <c r="G12" s="7" t="n">
        <v>549</v>
      </c>
      <c r="H12" s="14" t="n">
        <v>0</v>
      </c>
      <c r="I12" s="7" t="n">
        <v>1098</v>
      </c>
      <c r="J12" t="inlineStr">
        <is>
          <t>Instagram</t>
        </is>
      </c>
      <c r="K12" t="inlineStr">
        <is>
          <t>Rafael</t>
        </is>
      </c>
      <c r="L12" t="inlineStr">
        <is>
          <t>Cartão</t>
        </is>
      </c>
    </row>
    <row r="13">
      <c r="A13" s="13" t="n">
        <v>46256</v>
      </c>
      <c r="B13" t="inlineStr">
        <is>
          <t>VD-1009</t>
        </is>
      </c>
      <c r="C13" t="inlineStr">
        <is>
          <t>Ana Clara Lima</t>
        </is>
      </c>
      <c r="D13" t="inlineStr">
        <is>
          <t>Vaso Terra</t>
        </is>
      </c>
      <c r="E13" t="inlineStr">
        <is>
          <t>Decoração</t>
        </is>
      </c>
      <c r="F13" t="n">
        <v>1</v>
      </c>
      <c r="G13" s="7" t="n">
        <v>189</v>
      </c>
      <c r="H13" s="14" t="n">
        <v>0.03</v>
      </c>
      <c r="I13" s="7" t="n">
        <v>183.33</v>
      </c>
      <c r="J13" t="inlineStr">
        <is>
          <t>Google</t>
        </is>
      </c>
      <c r="K13" t="inlineStr">
        <is>
          <t>Camila</t>
        </is>
      </c>
      <c r="L13" t="inlineStr">
        <is>
          <t>Boleto</t>
        </is>
      </c>
    </row>
    <row r="14">
      <c r="A14" s="13" t="n">
        <v>46060</v>
      </c>
      <c r="B14" t="inlineStr">
        <is>
          <t>VD-1010</t>
        </is>
      </c>
      <c r="C14" t="inlineStr">
        <is>
          <t>Felipe Mendes</t>
        </is>
      </c>
      <c r="D14" t="inlineStr">
        <is>
          <t>Tapete Siena</t>
        </is>
      </c>
      <c r="E14" t="inlineStr">
        <is>
          <t>Têxtil</t>
        </is>
      </c>
      <c r="F14" t="n">
        <v>1</v>
      </c>
      <c r="G14" s="7" t="n">
        <v>799</v>
      </c>
      <c r="H14" s="14" t="n">
        <v>0.08</v>
      </c>
      <c r="I14" s="7" t="n">
        <v>735.08</v>
      </c>
      <c r="J14" t="inlineStr">
        <is>
          <t>Indicação</t>
        </is>
      </c>
      <c r="K14" t="inlineStr">
        <is>
          <t>Rafael</t>
        </is>
      </c>
      <c r="L14" t="inlineStr">
        <is>
          <t>Cartão</t>
        </is>
      </c>
    </row>
    <row r="15">
      <c r="A15" s="13" t="n">
        <v>46162</v>
      </c>
      <c r="B15" t="inlineStr">
        <is>
          <t>VD-1011</t>
        </is>
      </c>
      <c r="C15" t="inlineStr">
        <is>
          <t>Rafael Martins</t>
        </is>
      </c>
      <c r="D15" t="inlineStr">
        <is>
          <t>Luminária Cora</t>
        </is>
      </c>
      <c r="E15" t="inlineStr">
        <is>
          <t>Iluminação</t>
        </is>
      </c>
      <c r="F15" t="n">
        <v>1</v>
      </c>
      <c r="G15" s="7" t="n">
        <v>459</v>
      </c>
      <c r="H15" s="14" t="n">
        <v>0.03</v>
      </c>
      <c r="I15" s="7" t="n">
        <v>445.23</v>
      </c>
      <c r="J15" t="inlineStr">
        <is>
          <t>Indicação</t>
        </is>
      </c>
      <c r="K15" t="inlineStr">
        <is>
          <t>Marina</t>
        </is>
      </c>
      <c r="L15" t="inlineStr">
        <is>
          <t>Cartão</t>
        </is>
      </c>
    </row>
    <row r="16">
      <c r="A16" s="13" t="n">
        <v>46229</v>
      </c>
      <c r="B16" t="inlineStr">
        <is>
          <t>VD-1012</t>
        </is>
      </c>
      <c r="C16" t="inlineStr">
        <is>
          <t>Larissa Gomes</t>
        </is>
      </c>
      <c r="D16" t="inlineStr">
        <is>
          <t>Aparador Íris</t>
        </is>
      </c>
      <c r="E16" t="inlineStr">
        <is>
          <t>Móveis</t>
        </is>
      </c>
      <c r="F16" t="n">
        <v>1</v>
      </c>
      <c r="G16" s="7" t="n">
        <v>1490</v>
      </c>
      <c r="H16" s="14" t="n">
        <v>0.08</v>
      </c>
      <c r="I16" s="7" t="n">
        <v>1370.8</v>
      </c>
      <c r="J16" t="inlineStr">
        <is>
          <t>Indicação</t>
        </is>
      </c>
      <c r="K16" t="inlineStr">
        <is>
          <t>Camila</t>
        </is>
      </c>
      <c r="L16" t="inlineStr">
        <is>
          <t>Cartão</t>
        </is>
      </c>
    </row>
    <row r="17">
      <c r="A17" s="13" t="n">
        <v>46226</v>
      </c>
      <c r="B17" t="inlineStr">
        <is>
          <t>VD-1013</t>
        </is>
      </c>
      <c r="C17" t="inlineStr">
        <is>
          <t>Felipe Mendes</t>
        </is>
      </c>
      <c r="D17" t="inlineStr">
        <is>
          <t>Banqueta Nilo</t>
        </is>
      </c>
      <c r="E17" t="inlineStr">
        <is>
          <t>Móveis</t>
        </is>
      </c>
      <c r="F17" t="n">
        <v>1</v>
      </c>
      <c r="G17" s="7" t="n">
        <v>690</v>
      </c>
      <c r="H17" s="14" t="n">
        <v>0</v>
      </c>
      <c r="I17" s="7" t="n">
        <v>690</v>
      </c>
      <c r="J17" t="inlineStr">
        <is>
          <t>Site</t>
        </is>
      </c>
      <c r="K17" t="inlineStr">
        <is>
          <t>Camila</t>
        </is>
      </c>
      <c r="L17" t="inlineStr">
        <is>
          <t>Cartão</t>
        </is>
      </c>
    </row>
    <row r="18">
      <c r="A18" s="13" t="n">
        <v>46243</v>
      </c>
      <c r="B18" t="inlineStr">
        <is>
          <t>VD-1014</t>
        </is>
      </c>
      <c r="C18" t="inlineStr">
        <is>
          <t>Beatriz Souza</t>
        </is>
      </c>
      <c r="D18" t="inlineStr">
        <is>
          <t>Tapete Siena</t>
        </is>
      </c>
      <c r="E18" t="inlineStr">
        <is>
          <t>Têxtil</t>
        </is>
      </c>
      <c r="F18" t="n">
        <v>1</v>
      </c>
      <c r="G18" s="7" t="n">
        <v>799</v>
      </c>
      <c r="H18" s="14" t="n">
        <v>0</v>
      </c>
      <c r="I18" s="7" t="n">
        <v>799</v>
      </c>
      <c r="J18" t="inlineStr">
        <is>
          <t>Site</t>
        </is>
      </c>
      <c r="K18" t="inlineStr">
        <is>
          <t>Rafael</t>
        </is>
      </c>
      <c r="L18" t="inlineStr">
        <is>
          <t>Pix</t>
        </is>
      </c>
    </row>
    <row r="19">
      <c r="A19" s="13" t="n">
        <v>46048</v>
      </c>
      <c r="B19" t="inlineStr">
        <is>
          <t>VD-1015</t>
        </is>
      </c>
      <c r="C19" t="inlineStr">
        <is>
          <t>Thiago Oliveira</t>
        </is>
      </c>
      <c r="D19" t="inlineStr">
        <is>
          <t>Poltrona Siena</t>
        </is>
      </c>
      <c r="E19" t="inlineStr">
        <is>
          <t>Móveis</t>
        </is>
      </c>
      <c r="F19" t="n">
        <v>1</v>
      </c>
      <c r="G19" s="7" t="n">
        <v>1290</v>
      </c>
      <c r="H19" s="14" t="n">
        <v>0</v>
      </c>
      <c r="I19" s="7" t="n">
        <v>1290</v>
      </c>
      <c r="J19" t="inlineStr">
        <is>
          <t>Site</t>
        </is>
      </c>
      <c r="K19" t="inlineStr">
        <is>
          <t>Marina</t>
        </is>
      </c>
      <c r="L19" t="inlineStr">
        <is>
          <t>Cartão</t>
        </is>
      </c>
    </row>
    <row r="20">
      <c r="A20" s="13" t="n">
        <v>46219</v>
      </c>
      <c r="B20" t="inlineStr">
        <is>
          <t>VD-1016</t>
        </is>
      </c>
      <c r="C20" t="inlineStr">
        <is>
          <t>Juliana Ribeiro</t>
        </is>
      </c>
      <c r="D20" t="inlineStr">
        <is>
          <t>Tapete Siena</t>
        </is>
      </c>
      <c r="E20" t="inlineStr">
        <is>
          <t>Têxtil</t>
        </is>
      </c>
      <c r="F20" t="n">
        <v>3</v>
      </c>
      <c r="G20" s="7" t="n">
        <v>799</v>
      </c>
      <c r="H20" s="14" t="n">
        <v>0.08</v>
      </c>
      <c r="I20" s="7" t="n">
        <v>2205.24</v>
      </c>
      <c r="J20" t="inlineStr">
        <is>
          <t>Site</t>
        </is>
      </c>
      <c r="K20" t="inlineStr">
        <is>
          <t>Marina</t>
        </is>
      </c>
      <c r="L20" t="inlineStr">
        <is>
          <t>Boleto</t>
        </is>
      </c>
    </row>
    <row r="21">
      <c r="A21" s="13" t="n">
        <v>46082</v>
      </c>
      <c r="B21" t="inlineStr">
        <is>
          <t>VD-1017</t>
        </is>
      </c>
      <c r="C21" t="inlineStr">
        <is>
          <t>Lucas Ferreira</t>
        </is>
      </c>
      <c r="D21" t="inlineStr">
        <is>
          <t>Luminária Cora</t>
        </is>
      </c>
      <c r="E21" t="inlineStr">
        <is>
          <t>Iluminação</t>
        </is>
      </c>
      <c r="F21" t="n">
        <v>2</v>
      </c>
      <c r="G21" s="7" t="n">
        <v>459</v>
      </c>
      <c r="H21" s="14" t="n">
        <v>0.03</v>
      </c>
      <c r="I21" s="7" t="n">
        <v>890.46</v>
      </c>
      <c r="J21" t="inlineStr">
        <is>
          <t>Google</t>
        </is>
      </c>
      <c r="K21" t="inlineStr">
        <is>
          <t>Rafael</t>
        </is>
      </c>
      <c r="L21" t="inlineStr">
        <is>
          <t>Pix</t>
        </is>
      </c>
    </row>
    <row r="22">
      <c r="A22" s="13" t="n">
        <v>46256</v>
      </c>
      <c r="B22" t="inlineStr">
        <is>
          <t>VD-1018</t>
        </is>
      </c>
      <c r="C22" t="inlineStr">
        <is>
          <t>Sofia Teixeira</t>
        </is>
      </c>
      <c r="D22" t="inlineStr">
        <is>
          <t>Mesa Nórdica</t>
        </is>
      </c>
      <c r="E22" t="inlineStr">
        <is>
          <t>Móveis</t>
        </is>
      </c>
      <c r="F22" t="n">
        <v>3</v>
      </c>
      <c r="G22" s="7" t="n">
        <v>1890</v>
      </c>
      <c r="H22" s="14" t="n">
        <v>0.03</v>
      </c>
      <c r="I22" s="7" t="n">
        <v>5499.9</v>
      </c>
      <c r="J22" t="inlineStr">
        <is>
          <t>Indicação</t>
        </is>
      </c>
      <c r="K22" t="inlineStr">
        <is>
          <t>Camila</t>
        </is>
      </c>
      <c r="L22" t="inlineStr">
        <is>
          <t>Pix</t>
        </is>
      </c>
    </row>
    <row r="23">
      <c r="A23" s="13" t="n">
        <v>46176</v>
      </c>
      <c r="B23" t="inlineStr">
        <is>
          <t>VD-1019</t>
        </is>
      </c>
      <c r="C23" t="inlineStr">
        <is>
          <t>Bruno Carvalho</t>
        </is>
      </c>
      <c r="D23" t="inlineStr">
        <is>
          <t>Luminária Cora</t>
        </is>
      </c>
      <c r="E23" t="inlineStr">
        <is>
          <t>Iluminação</t>
        </is>
      </c>
      <c r="F23" t="n">
        <v>1</v>
      </c>
      <c r="G23" s="7" t="n">
        <v>459</v>
      </c>
      <c r="H23" s="14" t="n">
        <v>0</v>
      </c>
      <c r="I23" s="7" t="n">
        <v>459</v>
      </c>
      <c r="J23" t="inlineStr">
        <is>
          <t>Indicação</t>
        </is>
      </c>
      <c r="K23" t="inlineStr">
        <is>
          <t>Camila</t>
        </is>
      </c>
      <c r="L23" t="inlineStr">
        <is>
          <t>Boleto</t>
        </is>
      </c>
    </row>
    <row r="24">
      <c r="A24" s="13" t="n">
        <v>46024</v>
      </c>
      <c r="B24" t="inlineStr">
        <is>
          <t>VD-1020</t>
        </is>
      </c>
      <c r="C24" t="inlineStr">
        <is>
          <t>Lucas Ferreira</t>
        </is>
      </c>
      <c r="D24" t="inlineStr">
        <is>
          <t>Tapete Siena</t>
        </is>
      </c>
      <c r="E24" t="inlineStr">
        <is>
          <t>Têxtil</t>
        </is>
      </c>
      <c r="F24" t="n">
        <v>1</v>
      </c>
      <c r="G24" s="7" t="n">
        <v>799</v>
      </c>
      <c r="H24" s="14" t="n">
        <v>0</v>
      </c>
      <c r="I24" s="7" t="n">
        <v>799</v>
      </c>
      <c r="J24" t="inlineStr">
        <is>
          <t>Google</t>
        </is>
      </c>
      <c r="K24" t="inlineStr">
        <is>
          <t>Rafael</t>
        </is>
      </c>
      <c r="L24" t="inlineStr">
        <is>
          <t>Pix</t>
        </is>
      </c>
    </row>
    <row r="25">
      <c r="A25" s="13" t="n">
        <v>46053</v>
      </c>
      <c r="B25" t="inlineStr">
        <is>
          <t>VD-1021</t>
        </is>
      </c>
      <c r="C25" t="inlineStr">
        <is>
          <t>Camila Rocha</t>
        </is>
      </c>
      <c r="D25" t="inlineStr">
        <is>
          <t>Espelho Arco</t>
        </is>
      </c>
      <c r="E25" t="inlineStr">
        <is>
          <t>Decoração</t>
        </is>
      </c>
      <c r="F25" t="n">
        <v>2</v>
      </c>
      <c r="G25" s="7" t="n">
        <v>549</v>
      </c>
      <c r="H25" s="14" t="n">
        <v>0</v>
      </c>
      <c r="I25" s="7" t="n">
        <v>1098</v>
      </c>
      <c r="J25" t="inlineStr">
        <is>
          <t>WhatsApp</t>
        </is>
      </c>
      <c r="K25" t="inlineStr">
        <is>
          <t>Marina</t>
        </is>
      </c>
      <c r="L25" t="inlineStr">
        <is>
          <t>Boleto</t>
        </is>
      </c>
    </row>
    <row r="26">
      <c r="A26" s="13" t="n">
        <v>46088</v>
      </c>
      <c r="B26" t="inlineStr">
        <is>
          <t>VD-1022</t>
        </is>
      </c>
      <c r="C26" t="inlineStr">
        <is>
          <t>Gabriel Costa</t>
        </is>
      </c>
      <c r="D26" t="inlineStr">
        <is>
          <t>Luminária Aura</t>
        </is>
      </c>
      <c r="E26" t="inlineStr">
        <is>
          <t>Iluminação</t>
        </is>
      </c>
      <c r="F26" t="n">
        <v>1</v>
      </c>
      <c r="G26" s="7" t="n">
        <v>389</v>
      </c>
      <c r="H26" s="14" t="n">
        <v>0.08</v>
      </c>
      <c r="I26" s="7" t="n">
        <v>357.88</v>
      </c>
      <c r="J26" t="inlineStr">
        <is>
          <t>Google</t>
        </is>
      </c>
      <c r="K26" t="inlineStr">
        <is>
          <t>Camila</t>
        </is>
      </c>
      <c r="L26" t="inlineStr">
        <is>
          <t>Boleto</t>
        </is>
      </c>
    </row>
    <row r="27">
      <c r="A27" s="13" t="n">
        <v>46240</v>
      </c>
      <c r="B27" t="inlineStr">
        <is>
          <t>VD-1023</t>
        </is>
      </c>
      <c r="C27" t="inlineStr">
        <is>
          <t>Eduardo Nunes</t>
        </is>
      </c>
      <c r="D27" t="inlineStr">
        <is>
          <t>Espelho Arco</t>
        </is>
      </c>
      <c r="E27" t="inlineStr">
        <is>
          <t>Decoração</t>
        </is>
      </c>
      <c r="F27" t="n">
        <v>2</v>
      </c>
      <c r="G27" s="7" t="n">
        <v>549</v>
      </c>
      <c r="H27" s="14" t="n">
        <v>0</v>
      </c>
      <c r="I27" s="7" t="n">
        <v>1098</v>
      </c>
      <c r="J27" t="inlineStr">
        <is>
          <t>WhatsApp</t>
        </is>
      </c>
      <c r="K27" t="inlineStr">
        <is>
          <t>Camila</t>
        </is>
      </c>
      <c r="L27" t="inlineStr">
        <is>
          <t>Boleto</t>
        </is>
      </c>
    </row>
    <row r="28">
      <c r="A28" s="13" t="n">
        <v>46215</v>
      </c>
      <c r="B28" t="inlineStr">
        <is>
          <t>VD-1024</t>
        </is>
      </c>
      <c r="C28" t="inlineStr">
        <is>
          <t>Lucas Ferreira</t>
        </is>
      </c>
      <c r="D28" t="inlineStr">
        <is>
          <t>Banqueta Nilo</t>
        </is>
      </c>
      <c r="E28" t="inlineStr">
        <is>
          <t>Móveis</t>
        </is>
      </c>
      <c r="F28" t="n">
        <v>2</v>
      </c>
      <c r="G28" s="7" t="n">
        <v>690</v>
      </c>
      <c r="H28" s="14" t="n">
        <v>0.05</v>
      </c>
      <c r="I28" s="7" t="n">
        <v>1311</v>
      </c>
      <c r="J28" t="inlineStr">
        <is>
          <t>Indicação</t>
        </is>
      </c>
      <c r="K28" t="inlineStr">
        <is>
          <t>Marina</t>
        </is>
      </c>
      <c r="L28" t="inlineStr">
        <is>
          <t>Pix</t>
        </is>
      </c>
    </row>
    <row r="29">
      <c r="A29" s="13" t="n">
        <v>46197</v>
      </c>
      <c r="B29" t="inlineStr">
        <is>
          <t>VD-1025</t>
        </is>
      </c>
      <c r="C29" t="inlineStr">
        <is>
          <t>Valentina Moura</t>
        </is>
      </c>
      <c r="D29" t="inlineStr">
        <is>
          <t>Mesa Nórdica</t>
        </is>
      </c>
      <c r="E29" t="inlineStr">
        <is>
          <t>Móveis</t>
        </is>
      </c>
      <c r="F29" t="n">
        <v>1</v>
      </c>
      <c r="G29" s="7" t="n">
        <v>1890</v>
      </c>
      <c r="H29" s="14" t="n">
        <v>0</v>
      </c>
      <c r="I29" s="7" t="n">
        <v>1890</v>
      </c>
      <c r="J29" t="inlineStr">
        <is>
          <t>Indicação</t>
        </is>
      </c>
      <c r="K29" t="inlineStr">
        <is>
          <t>Marina</t>
        </is>
      </c>
      <c r="L29" t="inlineStr">
        <is>
          <t>Pix</t>
        </is>
      </c>
    </row>
    <row r="30">
      <c r="A30" s="13" t="n">
        <v>46054</v>
      </c>
      <c r="B30" t="inlineStr">
        <is>
          <t>VD-1026</t>
        </is>
      </c>
      <c r="C30" t="inlineStr">
        <is>
          <t>Larissa Gomes</t>
        </is>
      </c>
      <c r="D30" t="inlineStr">
        <is>
          <t>Espelho Arco</t>
        </is>
      </c>
      <c r="E30" t="inlineStr">
        <is>
          <t>Decoração</t>
        </is>
      </c>
      <c r="F30" t="n">
        <v>1</v>
      </c>
      <c r="G30" s="7" t="n">
        <v>549</v>
      </c>
      <c r="H30" s="14" t="n">
        <v>0</v>
      </c>
      <c r="I30" s="7" t="n">
        <v>549</v>
      </c>
      <c r="J30" t="inlineStr">
        <is>
          <t>Instagram</t>
        </is>
      </c>
      <c r="K30" t="inlineStr">
        <is>
          <t>Camila</t>
        </is>
      </c>
      <c r="L30" t="inlineStr">
        <is>
          <t>Pix</t>
        </is>
      </c>
    </row>
    <row r="31">
      <c r="A31" s="13" t="n">
        <v>46166</v>
      </c>
      <c r="B31" t="inlineStr">
        <is>
          <t>VD-1027</t>
        </is>
      </c>
      <c r="C31" t="inlineStr">
        <is>
          <t>Valentina Moura</t>
        </is>
      </c>
      <c r="D31" t="inlineStr">
        <is>
          <t>Banqueta Nilo</t>
        </is>
      </c>
      <c r="E31" t="inlineStr">
        <is>
          <t>Móveis</t>
        </is>
      </c>
      <c r="F31" t="n">
        <v>1</v>
      </c>
      <c r="G31" s="7" t="n">
        <v>690</v>
      </c>
      <c r="H31" s="14" t="n">
        <v>0</v>
      </c>
      <c r="I31" s="7" t="n">
        <v>690</v>
      </c>
      <c r="J31" t="inlineStr">
        <is>
          <t>Site</t>
        </is>
      </c>
      <c r="K31" t="inlineStr">
        <is>
          <t>Rafael</t>
        </is>
      </c>
      <c r="L31" t="inlineStr">
        <is>
          <t>Pix</t>
        </is>
      </c>
    </row>
    <row r="32">
      <c r="A32" s="13" t="n">
        <v>46266</v>
      </c>
      <c r="B32" t="inlineStr">
        <is>
          <t>VD-1028</t>
        </is>
      </c>
      <c r="C32" t="inlineStr">
        <is>
          <t>Thiago Oliveira</t>
        </is>
      </c>
      <c r="D32" t="inlineStr">
        <is>
          <t>Quadro Horizonte</t>
        </is>
      </c>
      <c r="E32" t="inlineStr">
        <is>
          <t>Decoração</t>
        </is>
      </c>
      <c r="F32" t="n">
        <v>1</v>
      </c>
      <c r="G32" s="7" t="n">
        <v>299</v>
      </c>
      <c r="H32" s="14" t="n">
        <v>0</v>
      </c>
      <c r="I32" s="7" t="n">
        <v>299</v>
      </c>
      <c r="J32" t="inlineStr">
        <is>
          <t>Google</t>
        </is>
      </c>
      <c r="K32" t="inlineStr">
        <is>
          <t>Rafael</t>
        </is>
      </c>
      <c r="L32" t="inlineStr">
        <is>
          <t>Cartão</t>
        </is>
      </c>
    </row>
    <row r="33">
      <c r="A33" s="13" t="n">
        <v>46263</v>
      </c>
      <c r="B33" t="inlineStr">
        <is>
          <t>VD-1029</t>
        </is>
      </c>
      <c r="C33" t="inlineStr">
        <is>
          <t>Rafael Martins</t>
        </is>
      </c>
      <c r="D33" t="inlineStr">
        <is>
          <t>Mesa Nórdica</t>
        </is>
      </c>
      <c r="E33" t="inlineStr">
        <is>
          <t>Móveis</t>
        </is>
      </c>
      <c r="F33" t="n">
        <v>1</v>
      </c>
      <c r="G33" s="7" t="n">
        <v>1890</v>
      </c>
      <c r="H33" s="14" t="n">
        <v>0</v>
      </c>
      <c r="I33" s="7" t="n">
        <v>1890</v>
      </c>
      <c r="J33" t="inlineStr">
        <is>
          <t>WhatsApp</t>
        </is>
      </c>
      <c r="K33" t="inlineStr">
        <is>
          <t>Camila</t>
        </is>
      </c>
      <c r="L33" t="inlineStr">
        <is>
          <t>Cartão</t>
        </is>
      </c>
    </row>
    <row r="34">
      <c r="A34" s="13" t="n">
        <v>46079</v>
      </c>
      <c r="B34" t="inlineStr">
        <is>
          <t>VD-1030</t>
        </is>
      </c>
      <c r="C34" t="inlineStr">
        <is>
          <t>Manuela Freitas</t>
        </is>
      </c>
      <c r="D34" t="inlineStr">
        <is>
          <t>Espelho Arco</t>
        </is>
      </c>
      <c r="E34" t="inlineStr">
        <is>
          <t>Decoração</t>
        </is>
      </c>
      <c r="F34" t="n">
        <v>1</v>
      </c>
      <c r="G34" s="7" t="n">
        <v>549</v>
      </c>
      <c r="H34" s="14" t="n">
        <v>0.08</v>
      </c>
      <c r="I34" s="7" t="n">
        <v>505.08</v>
      </c>
      <c r="J34" t="inlineStr">
        <is>
          <t>Indicação</t>
        </is>
      </c>
      <c r="K34" t="inlineStr">
        <is>
          <t>Rafael</t>
        </is>
      </c>
      <c r="L34" t="inlineStr">
        <is>
          <t>Pix</t>
        </is>
      </c>
    </row>
    <row r="35">
      <c r="A35" s="13" t="n">
        <v>46166</v>
      </c>
      <c r="B35" t="inlineStr">
        <is>
          <t>VD-1031</t>
        </is>
      </c>
      <c r="C35" t="inlineStr">
        <is>
          <t>Manuela Freitas</t>
        </is>
      </c>
      <c r="D35" t="inlineStr">
        <is>
          <t>Banqueta Nilo</t>
        </is>
      </c>
      <c r="E35" t="inlineStr">
        <is>
          <t>Móveis</t>
        </is>
      </c>
      <c r="F35" t="n">
        <v>1</v>
      </c>
      <c r="G35" s="7" t="n">
        <v>690</v>
      </c>
      <c r="H35" s="14" t="n">
        <v>0</v>
      </c>
      <c r="I35" s="7" t="n">
        <v>690</v>
      </c>
      <c r="J35" t="inlineStr">
        <is>
          <t>Site</t>
        </is>
      </c>
      <c r="K35" t="inlineStr">
        <is>
          <t>Marina</t>
        </is>
      </c>
      <c r="L35" t="inlineStr">
        <is>
          <t>Pix</t>
        </is>
      </c>
    </row>
    <row r="36">
      <c r="A36" s="13" t="n">
        <v>46031</v>
      </c>
      <c r="B36" t="inlineStr">
        <is>
          <t>VD-1032</t>
        </is>
      </c>
      <c r="C36" t="inlineStr">
        <is>
          <t>Gabriel Costa</t>
        </is>
      </c>
      <c r="D36" t="inlineStr">
        <is>
          <t>Poltrona Siena</t>
        </is>
      </c>
      <c r="E36" t="inlineStr">
        <is>
          <t>Móveis</t>
        </is>
      </c>
      <c r="F36" t="n">
        <v>2</v>
      </c>
      <c r="G36" s="7" t="n">
        <v>1290</v>
      </c>
      <c r="H36" s="14" t="n">
        <v>0</v>
      </c>
      <c r="I36" s="7" t="n">
        <v>2580</v>
      </c>
      <c r="J36" t="inlineStr">
        <is>
          <t>WhatsApp</t>
        </is>
      </c>
      <c r="K36" t="inlineStr">
        <is>
          <t>Rafael</t>
        </is>
      </c>
      <c r="L36" t="inlineStr">
        <is>
          <t>Cartão</t>
        </is>
      </c>
    </row>
    <row r="37">
      <c r="A37" s="13" t="n">
        <v>46133</v>
      </c>
      <c r="B37" t="inlineStr">
        <is>
          <t>VD-1033</t>
        </is>
      </c>
      <c r="C37" t="inlineStr">
        <is>
          <t>Isabela Dias</t>
        </is>
      </c>
      <c r="D37" t="inlineStr">
        <is>
          <t>Quadro Horizonte</t>
        </is>
      </c>
      <c r="E37" t="inlineStr">
        <is>
          <t>Decoração</t>
        </is>
      </c>
      <c r="F37" t="n">
        <v>2</v>
      </c>
      <c r="G37" s="7" t="n">
        <v>299</v>
      </c>
      <c r="H37" s="14" t="n">
        <v>0</v>
      </c>
      <c r="I37" s="7" t="n">
        <v>598</v>
      </c>
      <c r="J37" t="inlineStr">
        <is>
          <t>Instagram</t>
        </is>
      </c>
      <c r="K37" t="inlineStr">
        <is>
          <t>Rafael</t>
        </is>
      </c>
      <c r="L37" t="inlineStr">
        <is>
          <t>Cartão</t>
        </is>
      </c>
    </row>
    <row r="38">
      <c r="A38" s="13" t="n">
        <v>46256</v>
      </c>
      <c r="B38" t="inlineStr">
        <is>
          <t>VD-1034</t>
        </is>
      </c>
      <c r="C38" t="inlineStr">
        <is>
          <t>Caio Barros</t>
        </is>
      </c>
      <c r="D38" t="inlineStr">
        <is>
          <t>Aparador Íris</t>
        </is>
      </c>
      <c r="E38" t="inlineStr">
        <is>
          <t>Móveis</t>
        </is>
      </c>
      <c r="F38" t="n">
        <v>1</v>
      </c>
      <c r="G38" s="7" t="n">
        <v>1490</v>
      </c>
      <c r="H38" s="14" t="n">
        <v>0.08</v>
      </c>
      <c r="I38" s="7" t="n">
        <v>1370.8</v>
      </c>
      <c r="J38" t="inlineStr">
        <is>
          <t>Indicação</t>
        </is>
      </c>
      <c r="K38" t="inlineStr">
        <is>
          <t>Marina</t>
        </is>
      </c>
      <c r="L38" t="inlineStr">
        <is>
          <t>Cartão</t>
        </is>
      </c>
    </row>
    <row r="39">
      <c r="A39" s="13" t="n">
        <v>46135</v>
      </c>
      <c r="B39" t="inlineStr">
        <is>
          <t>VD-1035</t>
        </is>
      </c>
      <c r="C39" t="inlineStr">
        <is>
          <t>Rafael Martins</t>
        </is>
      </c>
      <c r="D39" t="inlineStr">
        <is>
          <t>Mesa Nórdica</t>
        </is>
      </c>
      <c r="E39" t="inlineStr">
        <is>
          <t>Móveis</t>
        </is>
      </c>
      <c r="F39" t="n">
        <v>1</v>
      </c>
      <c r="G39" s="7" t="n">
        <v>1890</v>
      </c>
      <c r="H39" s="14" t="n">
        <v>0.08</v>
      </c>
      <c r="I39" s="7" t="n">
        <v>1738.8</v>
      </c>
      <c r="J39" t="inlineStr">
        <is>
          <t>Google</t>
        </is>
      </c>
      <c r="K39" t="inlineStr">
        <is>
          <t>Marina</t>
        </is>
      </c>
      <c r="L39" t="inlineStr">
        <is>
          <t>Pix</t>
        </is>
      </c>
    </row>
    <row r="40">
      <c r="A40" s="13" t="n">
        <v>46268</v>
      </c>
      <c r="B40" t="inlineStr">
        <is>
          <t>VD-1036</t>
        </is>
      </c>
      <c r="C40" t="inlineStr">
        <is>
          <t>Gabriel Costa</t>
        </is>
      </c>
      <c r="D40" t="inlineStr">
        <is>
          <t>Luminária Cora</t>
        </is>
      </c>
      <c r="E40" t="inlineStr">
        <is>
          <t>Iluminação</t>
        </is>
      </c>
      <c r="F40" t="n">
        <v>2</v>
      </c>
      <c r="G40" s="7" t="n">
        <v>459</v>
      </c>
      <c r="H40" s="14" t="n">
        <v>0.08</v>
      </c>
      <c r="I40" s="7" t="n">
        <v>844.5599999999999</v>
      </c>
      <c r="J40" t="inlineStr">
        <is>
          <t>Instagram</t>
        </is>
      </c>
      <c r="K40" t="inlineStr">
        <is>
          <t>Camila</t>
        </is>
      </c>
      <c r="L40" t="inlineStr">
        <is>
          <t>Pix</t>
        </is>
      </c>
    </row>
    <row r="41">
      <c r="A41" s="13" t="n">
        <v>46119</v>
      </c>
      <c r="B41" t="inlineStr">
        <is>
          <t>VD-1037</t>
        </is>
      </c>
      <c r="C41" t="inlineStr">
        <is>
          <t>Isabela Dias</t>
        </is>
      </c>
      <c r="D41" t="inlineStr">
        <is>
          <t>Poltrona Siena</t>
        </is>
      </c>
      <c r="E41" t="inlineStr">
        <is>
          <t>Móveis</t>
        </is>
      </c>
      <c r="F41" t="n">
        <v>1</v>
      </c>
      <c r="G41" s="7" t="n">
        <v>1290</v>
      </c>
      <c r="H41" s="14" t="n">
        <v>0</v>
      </c>
      <c r="I41" s="7" t="n">
        <v>1290</v>
      </c>
      <c r="J41" t="inlineStr">
        <is>
          <t>Instagram</t>
        </is>
      </c>
      <c r="K41" t="inlineStr">
        <is>
          <t>Camila</t>
        </is>
      </c>
      <c r="L41" t="inlineStr">
        <is>
          <t>Pix</t>
        </is>
      </c>
    </row>
    <row r="42">
      <c r="A42" s="13" t="n">
        <v>46044</v>
      </c>
      <c r="B42" t="inlineStr">
        <is>
          <t>VD-1038</t>
        </is>
      </c>
      <c r="C42" t="inlineStr">
        <is>
          <t>Valentina Moura</t>
        </is>
      </c>
      <c r="D42" t="inlineStr">
        <is>
          <t>Tapete Siena</t>
        </is>
      </c>
      <c r="E42" t="inlineStr">
        <is>
          <t>Têxtil</t>
        </is>
      </c>
      <c r="F42" t="n">
        <v>1</v>
      </c>
      <c r="G42" s="7" t="n">
        <v>799</v>
      </c>
      <c r="H42" s="14" t="n">
        <v>0.08</v>
      </c>
      <c r="I42" s="7" t="n">
        <v>735.08</v>
      </c>
      <c r="J42" t="inlineStr">
        <is>
          <t>Site</t>
        </is>
      </c>
      <c r="K42" t="inlineStr">
        <is>
          <t>Rafael</t>
        </is>
      </c>
      <c r="L42" t="inlineStr">
        <is>
          <t>Cartão</t>
        </is>
      </c>
    </row>
    <row r="43">
      <c r="A43" s="13" t="n">
        <v>46128</v>
      </c>
      <c r="B43" t="inlineStr">
        <is>
          <t>VD-1039</t>
        </is>
      </c>
      <c r="C43" t="inlineStr">
        <is>
          <t>Beatriz Souza</t>
        </is>
      </c>
      <c r="D43" t="inlineStr">
        <is>
          <t>Vaso Terra</t>
        </is>
      </c>
      <c r="E43" t="inlineStr">
        <is>
          <t>Decoração</t>
        </is>
      </c>
      <c r="F43" t="n">
        <v>1</v>
      </c>
      <c r="G43" s="7" t="n">
        <v>189</v>
      </c>
      <c r="H43" s="14" t="n">
        <v>0.05</v>
      </c>
      <c r="I43" s="7" t="n">
        <v>179.55</v>
      </c>
      <c r="J43" t="inlineStr">
        <is>
          <t>Google</t>
        </is>
      </c>
      <c r="K43" t="inlineStr">
        <is>
          <t>Rafael</t>
        </is>
      </c>
      <c r="L43" t="inlineStr">
        <is>
          <t>Cartão</t>
        </is>
      </c>
    </row>
    <row r="44">
      <c r="A44" s="13" t="n">
        <v>46061</v>
      </c>
      <c r="B44" t="inlineStr">
        <is>
          <t>VD-1040</t>
        </is>
      </c>
      <c r="C44" t="inlineStr">
        <is>
          <t>Lucas Ferreira</t>
        </is>
      </c>
      <c r="D44" t="inlineStr">
        <is>
          <t>Mesa Nórdica</t>
        </is>
      </c>
      <c r="E44" t="inlineStr">
        <is>
          <t>Móveis</t>
        </is>
      </c>
      <c r="F44" t="n">
        <v>1</v>
      </c>
      <c r="G44" s="7" t="n">
        <v>1890</v>
      </c>
      <c r="H44" s="14" t="n">
        <v>0.08</v>
      </c>
      <c r="I44" s="7" t="n">
        <v>1738.8</v>
      </c>
      <c r="J44" t="inlineStr">
        <is>
          <t>Instagram</t>
        </is>
      </c>
      <c r="K44" t="inlineStr">
        <is>
          <t>Camila</t>
        </is>
      </c>
      <c r="L44" t="inlineStr">
        <is>
          <t>Pix</t>
        </is>
      </c>
    </row>
    <row r="45">
      <c r="A45" s="13" t="n">
        <v>46283</v>
      </c>
      <c r="B45" t="inlineStr">
        <is>
          <t>VD-1041</t>
        </is>
      </c>
      <c r="C45" t="inlineStr">
        <is>
          <t>Camila Rocha</t>
        </is>
      </c>
      <c r="D45" t="inlineStr">
        <is>
          <t>Aparador Íris</t>
        </is>
      </c>
      <c r="E45" t="inlineStr">
        <is>
          <t>Móveis</t>
        </is>
      </c>
      <c r="F45" t="n">
        <v>1</v>
      </c>
      <c r="G45" s="7" t="n">
        <v>1490</v>
      </c>
      <c r="H45" s="14" t="n">
        <v>0.03</v>
      </c>
      <c r="I45" s="7" t="n">
        <v>1445.3</v>
      </c>
      <c r="J45" t="inlineStr">
        <is>
          <t>Indicação</t>
        </is>
      </c>
      <c r="K45" t="inlineStr">
        <is>
          <t>Rafael</t>
        </is>
      </c>
      <c r="L45" t="inlineStr">
        <is>
          <t>Cartão</t>
        </is>
      </c>
    </row>
    <row r="46">
      <c r="A46" s="13" t="n">
        <v>46104</v>
      </c>
      <c r="B46" t="inlineStr">
        <is>
          <t>VD-1042</t>
        </is>
      </c>
      <c r="C46" t="inlineStr">
        <is>
          <t>Pedro Henrique</t>
        </is>
      </c>
      <c r="D46" t="inlineStr">
        <is>
          <t>Banqueta Nilo</t>
        </is>
      </c>
      <c r="E46" t="inlineStr">
        <is>
          <t>Móveis</t>
        </is>
      </c>
      <c r="F46" t="n">
        <v>2</v>
      </c>
      <c r="G46" s="7" t="n">
        <v>690</v>
      </c>
      <c r="H46" s="14" t="n">
        <v>0.03</v>
      </c>
      <c r="I46" s="7" t="n">
        <v>1338.6</v>
      </c>
      <c r="J46" t="inlineStr">
        <is>
          <t>Site</t>
        </is>
      </c>
      <c r="K46" t="inlineStr">
        <is>
          <t>Marina</t>
        </is>
      </c>
      <c r="L46" t="inlineStr">
        <is>
          <t>Boleto</t>
        </is>
      </c>
    </row>
    <row r="47">
      <c r="A47" s="13" t="n">
        <v>46177</v>
      </c>
      <c r="B47" t="inlineStr">
        <is>
          <t>VD-1043</t>
        </is>
      </c>
      <c r="C47" t="inlineStr">
        <is>
          <t>Juliana Ribeiro</t>
        </is>
      </c>
      <c r="D47" t="inlineStr">
        <is>
          <t>Poltrona Siena</t>
        </is>
      </c>
      <c r="E47" t="inlineStr">
        <is>
          <t>Móveis</t>
        </is>
      </c>
      <c r="F47" t="n">
        <v>2</v>
      </c>
      <c r="G47" s="7" t="n">
        <v>1290</v>
      </c>
      <c r="H47" s="14" t="n">
        <v>0</v>
      </c>
      <c r="I47" s="7" t="n">
        <v>2580</v>
      </c>
      <c r="J47" t="inlineStr">
        <is>
          <t>Instagram</t>
        </is>
      </c>
      <c r="K47" t="inlineStr">
        <is>
          <t>Marina</t>
        </is>
      </c>
      <c r="L47" t="inlineStr">
        <is>
          <t>Boleto</t>
        </is>
      </c>
    </row>
    <row r="48">
      <c r="A48" s="13" t="n">
        <v>46103</v>
      </c>
      <c r="B48" t="inlineStr">
        <is>
          <t>VD-1044</t>
        </is>
      </c>
      <c r="C48" t="inlineStr">
        <is>
          <t>Larissa Gomes</t>
        </is>
      </c>
      <c r="D48" t="inlineStr">
        <is>
          <t>Aparador Íris</t>
        </is>
      </c>
      <c r="E48" t="inlineStr">
        <is>
          <t>Móveis</t>
        </is>
      </c>
      <c r="F48" t="n">
        <v>1</v>
      </c>
      <c r="G48" s="7" t="n">
        <v>1490</v>
      </c>
      <c r="H48" s="14" t="n">
        <v>0</v>
      </c>
      <c r="I48" s="7" t="n">
        <v>1490</v>
      </c>
      <c r="J48" t="inlineStr">
        <is>
          <t>Indicação</t>
        </is>
      </c>
      <c r="K48" t="inlineStr">
        <is>
          <t>Camila</t>
        </is>
      </c>
      <c r="L48" t="inlineStr">
        <is>
          <t>Boleto</t>
        </is>
      </c>
    </row>
    <row r="49">
      <c r="A49" s="13" t="n">
        <v>46159</v>
      </c>
      <c r="B49" t="inlineStr">
        <is>
          <t>VD-1045</t>
        </is>
      </c>
      <c r="C49" t="inlineStr">
        <is>
          <t>Camila Rocha</t>
        </is>
      </c>
      <c r="D49" t="inlineStr">
        <is>
          <t>Luminária Cora</t>
        </is>
      </c>
      <c r="E49" t="inlineStr">
        <is>
          <t>Iluminação</t>
        </is>
      </c>
      <c r="F49" t="n">
        <v>1</v>
      </c>
      <c r="G49" s="7" t="n">
        <v>459</v>
      </c>
      <c r="H49" s="14" t="n">
        <v>0</v>
      </c>
      <c r="I49" s="7" t="n">
        <v>459</v>
      </c>
      <c r="J49" t="inlineStr">
        <is>
          <t>WhatsApp</t>
        </is>
      </c>
      <c r="K49" t="inlineStr">
        <is>
          <t>Rafael</t>
        </is>
      </c>
      <c r="L49" t="inlineStr">
        <is>
          <t>Pix</t>
        </is>
      </c>
    </row>
    <row r="50">
      <c r="A50" s="13" t="n">
        <v>46025</v>
      </c>
      <c r="B50" t="inlineStr">
        <is>
          <t>VD-1046</t>
        </is>
      </c>
      <c r="C50" t="inlineStr">
        <is>
          <t>Gabriel Costa</t>
        </is>
      </c>
      <c r="D50" t="inlineStr">
        <is>
          <t>Vaso Terra</t>
        </is>
      </c>
      <c r="E50" t="inlineStr">
        <is>
          <t>Decoração</t>
        </is>
      </c>
      <c r="F50" t="n">
        <v>2</v>
      </c>
      <c r="G50" s="7" t="n">
        <v>189</v>
      </c>
      <c r="H50" s="14" t="n">
        <v>0.03</v>
      </c>
      <c r="I50" s="7" t="n">
        <v>366.66</v>
      </c>
      <c r="J50" t="inlineStr">
        <is>
          <t>WhatsApp</t>
        </is>
      </c>
      <c r="K50" t="inlineStr">
        <is>
          <t>Camila</t>
        </is>
      </c>
      <c r="L50" t="inlineStr">
        <is>
          <t>Boleto</t>
        </is>
      </c>
    </row>
    <row r="51">
      <c r="A51" s="13" t="n">
        <v>46242</v>
      </c>
      <c r="B51" t="inlineStr">
        <is>
          <t>VD-1047</t>
        </is>
      </c>
      <c r="C51" t="inlineStr">
        <is>
          <t>Beatriz Souza</t>
        </is>
      </c>
      <c r="D51" t="inlineStr">
        <is>
          <t>Luminária Cora</t>
        </is>
      </c>
      <c r="E51" t="inlineStr">
        <is>
          <t>Iluminação</t>
        </is>
      </c>
      <c r="F51" t="n">
        <v>1</v>
      </c>
      <c r="G51" s="7" t="n">
        <v>459</v>
      </c>
      <c r="H51" s="14" t="n">
        <v>0</v>
      </c>
      <c r="I51" s="7" t="n">
        <v>459</v>
      </c>
      <c r="J51" t="inlineStr">
        <is>
          <t>Site</t>
        </is>
      </c>
      <c r="K51" t="inlineStr">
        <is>
          <t>Marina</t>
        </is>
      </c>
      <c r="L51" t="inlineStr">
        <is>
          <t>Cartão</t>
        </is>
      </c>
    </row>
    <row r="52">
      <c r="A52" s="13" t="n">
        <v>46099</v>
      </c>
      <c r="B52" t="inlineStr">
        <is>
          <t>VD-1048</t>
        </is>
      </c>
      <c r="C52" t="inlineStr">
        <is>
          <t>Bruno Carvalho</t>
        </is>
      </c>
      <c r="D52" t="inlineStr">
        <is>
          <t>Quadro Horizonte</t>
        </is>
      </c>
      <c r="E52" t="inlineStr">
        <is>
          <t>Decoração</t>
        </is>
      </c>
      <c r="F52" t="n">
        <v>1</v>
      </c>
      <c r="G52" s="7" t="n">
        <v>299</v>
      </c>
      <c r="H52" s="14" t="n">
        <v>0.03</v>
      </c>
      <c r="I52" s="7" t="n">
        <v>290.03</v>
      </c>
      <c r="J52" t="inlineStr">
        <is>
          <t>Instagram</t>
        </is>
      </c>
      <c r="K52" t="inlineStr">
        <is>
          <t>Rafael</t>
        </is>
      </c>
      <c r="L52" t="inlineStr">
        <is>
          <t>Pix</t>
        </is>
      </c>
    </row>
    <row r="53">
      <c r="A53" s="13" t="n">
        <v>46151</v>
      </c>
      <c r="B53" t="inlineStr">
        <is>
          <t>VD-1049</t>
        </is>
      </c>
      <c r="C53" t="inlineStr">
        <is>
          <t>Thiago Oliveira</t>
        </is>
      </c>
      <c r="D53" t="inlineStr">
        <is>
          <t>Poltrona Siena</t>
        </is>
      </c>
      <c r="E53" t="inlineStr">
        <is>
          <t>Móveis</t>
        </is>
      </c>
      <c r="F53" t="n">
        <v>1</v>
      </c>
      <c r="G53" s="7" t="n">
        <v>1290</v>
      </c>
      <c r="H53" s="14" t="n">
        <v>0.08</v>
      </c>
      <c r="I53" s="7" t="n">
        <v>1186.8</v>
      </c>
      <c r="J53" t="inlineStr">
        <is>
          <t>Site</t>
        </is>
      </c>
      <c r="K53" t="inlineStr">
        <is>
          <t>Camila</t>
        </is>
      </c>
      <c r="L53" t="inlineStr">
        <is>
          <t>Pix</t>
        </is>
      </c>
    </row>
    <row r="54">
      <c r="A54" s="13" t="n">
        <v>46145</v>
      </c>
      <c r="B54" t="inlineStr">
        <is>
          <t>VD-1050</t>
        </is>
      </c>
      <c r="C54" t="inlineStr">
        <is>
          <t>Thiago Oliveira</t>
        </is>
      </c>
      <c r="D54" t="inlineStr">
        <is>
          <t>Luminária Aura</t>
        </is>
      </c>
      <c r="E54" t="inlineStr">
        <is>
          <t>Iluminação</t>
        </is>
      </c>
      <c r="F54" t="n">
        <v>3</v>
      </c>
      <c r="G54" s="7" t="n">
        <v>389</v>
      </c>
      <c r="H54" s="14" t="n">
        <v>0</v>
      </c>
      <c r="I54" s="7" t="n">
        <v>1167</v>
      </c>
      <c r="J54" t="inlineStr">
        <is>
          <t>Instagram</t>
        </is>
      </c>
      <c r="K54" t="inlineStr">
        <is>
          <t>Marina</t>
        </is>
      </c>
      <c r="L54" t="inlineStr">
        <is>
          <t>Boleto</t>
        </is>
      </c>
    </row>
    <row r="55">
      <c r="A55" s="13" t="n">
        <v>46194</v>
      </c>
      <c r="B55" t="inlineStr">
        <is>
          <t>VD-1051</t>
        </is>
      </c>
      <c r="C55" t="inlineStr">
        <is>
          <t>Juliana Ribeiro</t>
        </is>
      </c>
      <c r="D55" t="inlineStr">
        <is>
          <t>Quadro Horizonte</t>
        </is>
      </c>
      <c r="E55" t="inlineStr">
        <is>
          <t>Decoração</t>
        </is>
      </c>
      <c r="F55" t="n">
        <v>2</v>
      </c>
      <c r="G55" s="7" t="n">
        <v>299</v>
      </c>
      <c r="H55" s="14" t="n">
        <v>0</v>
      </c>
      <c r="I55" s="7" t="n">
        <v>598</v>
      </c>
      <c r="J55" t="inlineStr">
        <is>
          <t>Indicação</t>
        </is>
      </c>
      <c r="K55" t="inlineStr">
        <is>
          <t>Camila</t>
        </is>
      </c>
      <c r="L55" t="inlineStr">
        <is>
          <t>Pix</t>
        </is>
      </c>
    </row>
    <row r="56">
      <c r="A56" s="13" t="n">
        <v>46219</v>
      </c>
      <c r="B56" t="inlineStr">
        <is>
          <t>VD-1052</t>
        </is>
      </c>
      <c r="C56" t="inlineStr">
        <is>
          <t>Ana Clara Lima</t>
        </is>
      </c>
      <c r="D56" t="inlineStr">
        <is>
          <t>Mesa Nórdica</t>
        </is>
      </c>
      <c r="E56" t="inlineStr">
        <is>
          <t>Móveis</t>
        </is>
      </c>
      <c r="F56" t="n">
        <v>2</v>
      </c>
      <c r="G56" s="7" t="n">
        <v>1890</v>
      </c>
      <c r="H56" s="14" t="n">
        <v>0</v>
      </c>
      <c r="I56" s="7" t="n">
        <v>3780</v>
      </c>
      <c r="J56" t="inlineStr">
        <is>
          <t>WhatsApp</t>
        </is>
      </c>
      <c r="K56" t="inlineStr">
        <is>
          <t>Rafael</t>
        </is>
      </c>
      <c r="L56" t="inlineStr">
        <is>
          <t>Cartão</t>
        </is>
      </c>
    </row>
    <row r="57">
      <c r="A57" s="13" t="n">
        <v>46140</v>
      </c>
      <c r="B57" t="inlineStr">
        <is>
          <t>VD-1053</t>
        </is>
      </c>
      <c r="C57" t="inlineStr">
        <is>
          <t>Isabela Dias</t>
        </is>
      </c>
      <c r="D57" t="inlineStr">
        <is>
          <t>Espelho Arco</t>
        </is>
      </c>
      <c r="E57" t="inlineStr">
        <is>
          <t>Decoração</t>
        </is>
      </c>
      <c r="F57" t="n">
        <v>1</v>
      </c>
      <c r="G57" s="7" t="n">
        <v>549</v>
      </c>
      <c r="H57" s="14" t="n">
        <v>0</v>
      </c>
      <c r="I57" s="7" t="n">
        <v>549</v>
      </c>
      <c r="J57" t="inlineStr">
        <is>
          <t>Google</t>
        </is>
      </c>
      <c r="K57" t="inlineStr">
        <is>
          <t>Rafael</t>
        </is>
      </c>
      <c r="L57" t="inlineStr">
        <is>
          <t>Pix</t>
        </is>
      </c>
    </row>
    <row r="58">
      <c r="A58" s="13" t="n">
        <v>46166</v>
      </c>
      <c r="B58" t="inlineStr">
        <is>
          <t>VD-1054</t>
        </is>
      </c>
      <c r="C58" t="inlineStr">
        <is>
          <t>Henrique Ramos</t>
        </is>
      </c>
      <c r="D58" t="inlineStr">
        <is>
          <t>Vaso Terra</t>
        </is>
      </c>
      <c r="E58" t="inlineStr">
        <is>
          <t>Decoração</t>
        </is>
      </c>
      <c r="F58" t="n">
        <v>1</v>
      </c>
      <c r="G58" s="7" t="n">
        <v>189</v>
      </c>
      <c r="H58" s="14" t="n">
        <v>0.05</v>
      </c>
      <c r="I58" s="7" t="n">
        <v>179.55</v>
      </c>
      <c r="J58" t="inlineStr">
        <is>
          <t>Google</t>
        </is>
      </c>
      <c r="K58" t="inlineStr">
        <is>
          <t>Marina</t>
        </is>
      </c>
      <c r="L58" t="inlineStr">
        <is>
          <t>Pix</t>
        </is>
      </c>
    </row>
    <row r="59">
      <c r="A59" s="13" t="n">
        <v>46157</v>
      </c>
      <c r="B59" t="inlineStr">
        <is>
          <t>VD-1055</t>
        </is>
      </c>
      <c r="C59" t="inlineStr">
        <is>
          <t>Rafael Martins</t>
        </is>
      </c>
      <c r="D59" t="inlineStr">
        <is>
          <t>Luminária Aura</t>
        </is>
      </c>
      <c r="E59" t="inlineStr">
        <is>
          <t>Iluminação</t>
        </is>
      </c>
      <c r="F59" t="n">
        <v>1</v>
      </c>
      <c r="G59" s="7" t="n">
        <v>389</v>
      </c>
      <c r="H59" s="14" t="n">
        <v>0.03</v>
      </c>
      <c r="I59" s="7" t="n">
        <v>377.33</v>
      </c>
      <c r="J59" t="inlineStr">
        <is>
          <t>Instagram</t>
        </is>
      </c>
      <c r="K59" t="inlineStr">
        <is>
          <t>Camila</t>
        </is>
      </c>
      <c r="L59" t="inlineStr">
        <is>
          <t>Cartão</t>
        </is>
      </c>
    </row>
    <row r="60">
      <c r="A60" s="13" t="n">
        <v>46200</v>
      </c>
      <c r="B60" t="inlineStr">
        <is>
          <t>VD-1056</t>
        </is>
      </c>
      <c r="C60" t="inlineStr">
        <is>
          <t>Lucas Ferreira</t>
        </is>
      </c>
      <c r="D60" t="inlineStr">
        <is>
          <t>Vaso Terra</t>
        </is>
      </c>
      <c r="E60" t="inlineStr">
        <is>
          <t>Decoração</t>
        </is>
      </c>
      <c r="F60" t="n">
        <v>1</v>
      </c>
      <c r="G60" s="7" t="n">
        <v>189</v>
      </c>
      <c r="H60" s="14" t="n">
        <v>0.08</v>
      </c>
      <c r="I60" s="7" t="n">
        <v>173.88</v>
      </c>
      <c r="J60" t="inlineStr">
        <is>
          <t>WhatsApp</t>
        </is>
      </c>
      <c r="K60" t="inlineStr">
        <is>
          <t>Camila</t>
        </is>
      </c>
      <c r="L60" t="inlineStr">
        <is>
          <t>Pix</t>
        </is>
      </c>
    </row>
    <row r="61">
      <c r="A61" s="13" t="n">
        <v>46154</v>
      </c>
      <c r="B61" t="inlineStr">
        <is>
          <t>VD-1057</t>
        </is>
      </c>
      <c r="C61" t="inlineStr">
        <is>
          <t>Sofia Teixeira</t>
        </is>
      </c>
      <c r="D61" t="inlineStr">
        <is>
          <t>Mesa Nórdica</t>
        </is>
      </c>
      <c r="E61" t="inlineStr">
        <is>
          <t>Móveis</t>
        </is>
      </c>
      <c r="F61" t="n">
        <v>1</v>
      </c>
      <c r="G61" s="7" t="n">
        <v>1890</v>
      </c>
      <c r="H61" s="14" t="n">
        <v>0</v>
      </c>
      <c r="I61" s="7" t="n">
        <v>1890</v>
      </c>
      <c r="J61" t="inlineStr">
        <is>
          <t>Site</t>
        </is>
      </c>
      <c r="K61" t="inlineStr">
        <is>
          <t>Camila</t>
        </is>
      </c>
      <c r="L61" t="inlineStr">
        <is>
          <t>Boleto</t>
        </is>
      </c>
    </row>
    <row r="62">
      <c r="A62" s="13" t="n">
        <v>46124</v>
      </c>
      <c r="B62" t="inlineStr">
        <is>
          <t>VD-1058</t>
        </is>
      </c>
      <c r="C62" t="inlineStr">
        <is>
          <t>Pedro Henrique</t>
        </is>
      </c>
      <c r="D62" t="inlineStr">
        <is>
          <t>Vaso Terra</t>
        </is>
      </c>
      <c r="E62" t="inlineStr">
        <is>
          <t>Decoração</t>
        </is>
      </c>
      <c r="F62" t="n">
        <v>1</v>
      </c>
      <c r="G62" s="7" t="n">
        <v>189</v>
      </c>
      <c r="H62" s="14" t="n">
        <v>0.03</v>
      </c>
      <c r="I62" s="7" t="n">
        <v>183.33</v>
      </c>
      <c r="J62" t="inlineStr">
        <is>
          <t>Google</t>
        </is>
      </c>
      <c r="K62" t="inlineStr">
        <is>
          <t>Camila</t>
        </is>
      </c>
      <c r="L62" t="inlineStr">
        <is>
          <t>Pix</t>
        </is>
      </c>
    </row>
    <row r="63">
      <c r="A63" s="13" t="n">
        <v>46177</v>
      </c>
      <c r="B63" t="inlineStr">
        <is>
          <t>VD-1059</t>
        </is>
      </c>
      <c r="C63" t="inlineStr">
        <is>
          <t>Larissa Gomes</t>
        </is>
      </c>
      <c r="D63" t="inlineStr">
        <is>
          <t>Luminária Cora</t>
        </is>
      </c>
      <c r="E63" t="inlineStr">
        <is>
          <t>Iluminação</t>
        </is>
      </c>
      <c r="F63" t="n">
        <v>1</v>
      </c>
      <c r="G63" s="7" t="n">
        <v>459</v>
      </c>
      <c r="H63" s="14" t="n">
        <v>0.05</v>
      </c>
      <c r="I63" s="7" t="n">
        <v>436.05</v>
      </c>
      <c r="J63" t="inlineStr">
        <is>
          <t>WhatsApp</t>
        </is>
      </c>
      <c r="K63" t="inlineStr">
        <is>
          <t>Camila</t>
        </is>
      </c>
      <c r="L63" t="inlineStr">
        <is>
          <t>Cartão</t>
        </is>
      </c>
    </row>
    <row r="64">
      <c r="A64" s="13" t="n">
        <v>46089</v>
      </c>
      <c r="B64" t="inlineStr">
        <is>
          <t>VD-1060</t>
        </is>
      </c>
      <c r="C64" t="inlineStr">
        <is>
          <t>Gabriel Costa</t>
        </is>
      </c>
      <c r="D64" t="inlineStr">
        <is>
          <t>Espelho Arco</t>
        </is>
      </c>
      <c r="E64" t="inlineStr">
        <is>
          <t>Decoração</t>
        </is>
      </c>
      <c r="F64" t="n">
        <v>1</v>
      </c>
      <c r="G64" s="7" t="n">
        <v>549</v>
      </c>
      <c r="H64" s="14" t="n">
        <v>0.05</v>
      </c>
      <c r="I64" s="7" t="n">
        <v>521.55</v>
      </c>
      <c r="J64" t="inlineStr">
        <is>
          <t>Site</t>
        </is>
      </c>
      <c r="K64" t="inlineStr">
        <is>
          <t>Camila</t>
        </is>
      </c>
      <c r="L64" t="inlineStr">
        <is>
          <t>Cartão</t>
        </is>
      </c>
    </row>
    <row r="65">
      <c r="A65" s="13" t="n">
        <v>46231</v>
      </c>
      <c r="B65" t="inlineStr">
        <is>
          <t>VD-1061</t>
        </is>
      </c>
      <c r="C65" t="inlineStr">
        <is>
          <t>Eduardo Nunes</t>
        </is>
      </c>
      <c r="D65" t="inlineStr">
        <is>
          <t>Luminária Cora</t>
        </is>
      </c>
      <c r="E65" t="inlineStr">
        <is>
          <t>Iluminação</t>
        </is>
      </c>
      <c r="F65" t="n">
        <v>2</v>
      </c>
      <c r="G65" s="7" t="n">
        <v>459</v>
      </c>
      <c r="H65" s="14" t="n">
        <v>0.03</v>
      </c>
      <c r="I65" s="7" t="n">
        <v>890.46</v>
      </c>
      <c r="J65" t="inlineStr">
        <is>
          <t>Indicação</t>
        </is>
      </c>
      <c r="K65" t="inlineStr">
        <is>
          <t>Rafael</t>
        </is>
      </c>
      <c r="L65" t="inlineStr">
        <is>
          <t>Boleto</t>
        </is>
      </c>
    </row>
    <row r="66">
      <c r="A66" s="13" t="n">
        <v>46188</v>
      </c>
      <c r="B66" t="inlineStr">
        <is>
          <t>VD-1062</t>
        </is>
      </c>
      <c r="C66" t="inlineStr">
        <is>
          <t>Sofia Teixeira</t>
        </is>
      </c>
      <c r="D66" t="inlineStr">
        <is>
          <t>Banqueta Nilo</t>
        </is>
      </c>
      <c r="E66" t="inlineStr">
        <is>
          <t>Móveis</t>
        </is>
      </c>
      <c r="F66" t="n">
        <v>1</v>
      </c>
      <c r="G66" s="7" t="n">
        <v>690</v>
      </c>
      <c r="H66" s="14" t="n">
        <v>0</v>
      </c>
      <c r="I66" s="7" t="n">
        <v>690</v>
      </c>
      <c r="J66" t="inlineStr">
        <is>
          <t>WhatsApp</t>
        </is>
      </c>
      <c r="K66" t="inlineStr">
        <is>
          <t>Camila</t>
        </is>
      </c>
      <c r="L66" t="inlineStr">
        <is>
          <t>Pix</t>
        </is>
      </c>
    </row>
    <row r="67">
      <c r="A67" s="13" t="n">
        <v>46067</v>
      </c>
      <c r="B67" t="inlineStr">
        <is>
          <t>VD-1063</t>
        </is>
      </c>
      <c r="C67" t="inlineStr">
        <is>
          <t>Larissa Gomes</t>
        </is>
      </c>
      <c r="D67" t="inlineStr">
        <is>
          <t>Aparador Íris</t>
        </is>
      </c>
      <c r="E67" t="inlineStr">
        <is>
          <t>Móveis</t>
        </is>
      </c>
      <c r="F67" t="n">
        <v>1</v>
      </c>
      <c r="G67" s="7" t="n">
        <v>1490</v>
      </c>
      <c r="H67" s="14" t="n">
        <v>0.08</v>
      </c>
      <c r="I67" s="7" t="n">
        <v>1370.8</v>
      </c>
      <c r="J67" t="inlineStr">
        <is>
          <t>Instagram</t>
        </is>
      </c>
      <c r="K67" t="inlineStr">
        <is>
          <t>Marina</t>
        </is>
      </c>
      <c r="L67" t="inlineStr">
        <is>
          <t>Boleto</t>
        </is>
      </c>
    </row>
    <row r="68">
      <c r="A68" s="13" t="n">
        <v>46182</v>
      </c>
      <c r="B68" t="inlineStr">
        <is>
          <t>VD-1064</t>
        </is>
      </c>
      <c r="C68" t="inlineStr">
        <is>
          <t>Mariana Alves</t>
        </is>
      </c>
      <c r="D68" t="inlineStr">
        <is>
          <t>Espelho Arco</t>
        </is>
      </c>
      <c r="E68" t="inlineStr">
        <is>
          <t>Decoração</t>
        </is>
      </c>
      <c r="F68" t="n">
        <v>2</v>
      </c>
      <c r="G68" s="7" t="n">
        <v>549</v>
      </c>
      <c r="H68" s="14" t="n">
        <v>0</v>
      </c>
      <c r="I68" s="7" t="n">
        <v>1098</v>
      </c>
      <c r="J68" t="inlineStr">
        <is>
          <t>Instagram</t>
        </is>
      </c>
      <c r="K68" t="inlineStr">
        <is>
          <t>Marina</t>
        </is>
      </c>
      <c r="L68" t="inlineStr">
        <is>
          <t>Cartão</t>
        </is>
      </c>
    </row>
    <row r="69">
      <c r="A69" s="13" t="n">
        <v>46061</v>
      </c>
      <c r="B69" t="inlineStr">
        <is>
          <t>VD-1065</t>
        </is>
      </c>
      <c r="C69" t="inlineStr">
        <is>
          <t>Ana Clara Lima</t>
        </is>
      </c>
      <c r="D69" t="inlineStr">
        <is>
          <t>Banqueta Nilo</t>
        </is>
      </c>
      <c r="E69" t="inlineStr">
        <is>
          <t>Móveis</t>
        </is>
      </c>
      <c r="F69" t="n">
        <v>1</v>
      </c>
      <c r="G69" s="7" t="n">
        <v>690</v>
      </c>
      <c r="H69" s="14" t="n">
        <v>0.08</v>
      </c>
      <c r="I69" s="7" t="n">
        <v>634.8</v>
      </c>
      <c r="J69" t="inlineStr">
        <is>
          <t>WhatsApp</t>
        </is>
      </c>
      <c r="K69" t="inlineStr">
        <is>
          <t>Rafael</t>
        </is>
      </c>
      <c r="L69" t="inlineStr">
        <is>
          <t>Cartão</t>
        </is>
      </c>
    </row>
    <row r="70">
      <c r="A70" s="13" t="n">
        <v>46148</v>
      </c>
      <c r="B70" t="inlineStr">
        <is>
          <t>VD-1066</t>
        </is>
      </c>
      <c r="C70" t="inlineStr">
        <is>
          <t>Lucas Ferreira</t>
        </is>
      </c>
      <c r="D70" t="inlineStr">
        <is>
          <t>Luminária Aura</t>
        </is>
      </c>
      <c r="E70" t="inlineStr">
        <is>
          <t>Iluminação</t>
        </is>
      </c>
      <c r="F70" t="n">
        <v>1</v>
      </c>
      <c r="G70" s="7" t="n">
        <v>389</v>
      </c>
      <c r="H70" s="14" t="n">
        <v>0</v>
      </c>
      <c r="I70" s="7" t="n">
        <v>389</v>
      </c>
      <c r="J70" t="inlineStr">
        <is>
          <t>WhatsApp</t>
        </is>
      </c>
      <c r="K70" t="inlineStr">
        <is>
          <t>Marina</t>
        </is>
      </c>
      <c r="L70" t="inlineStr">
        <is>
          <t>Pix</t>
        </is>
      </c>
    </row>
    <row r="71">
      <c r="A71" s="13" t="n">
        <v>46289</v>
      </c>
      <c r="B71" t="inlineStr">
        <is>
          <t>VD-1067</t>
        </is>
      </c>
      <c r="C71" t="inlineStr">
        <is>
          <t>Lucas Ferreira</t>
        </is>
      </c>
      <c r="D71" t="inlineStr">
        <is>
          <t>Banqueta Nilo</t>
        </is>
      </c>
      <c r="E71" t="inlineStr">
        <is>
          <t>Móveis</t>
        </is>
      </c>
      <c r="F71" t="n">
        <v>1</v>
      </c>
      <c r="G71" s="7" t="n">
        <v>690</v>
      </c>
      <c r="H71" s="14" t="n">
        <v>0</v>
      </c>
      <c r="I71" s="7" t="n">
        <v>690</v>
      </c>
      <c r="J71" t="inlineStr">
        <is>
          <t>WhatsApp</t>
        </is>
      </c>
      <c r="K71" t="inlineStr">
        <is>
          <t>Marina</t>
        </is>
      </c>
      <c r="L71" t="inlineStr">
        <is>
          <t>Cartão</t>
        </is>
      </c>
    </row>
    <row r="72">
      <c r="A72" s="13" t="n">
        <v>46186</v>
      </c>
      <c r="B72" t="inlineStr">
        <is>
          <t>VD-1068</t>
        </is>
      </c>
      <c r="C72" t="inlineStr">
        <is>
          <t>Thiago Oliveira</t>
        </is>
      </c>
      <c r="D72" t="inlineStr">
        <is>
          <t>Banqueta Nilo</t>
        </is>
      </c>
      <c r="E72" t="inlineStr">
        <is>
          <t>Móveis</t>
        </is>
      </c>
      <c r="F72" t="n">
        <v>1</v>
      </c>
      <c r="G72" s="7" t="n">
        <v>690</v>
      </c>
      <c r="H72" s="14" t="n">
        <v>0.08</v>
      </c>
      <c r="I72" s="7" t="n">
        <v>634.8</v>
      </c>
      <c r="J72" t="inlineStr">
        <is>
          <t>Site</t>
        </is>
      </c>
      <c r="K72" t="inlineStr">
        <is>
          <t>Rafael</t>
        </is>
      </c>
      <c r="L72" t="inlineStr">
        <is>
          <t>Pix</t>
        </is>
      </c>
    </row>
    <row r="73">
      <c r="A73" s="13" t="n">
        <v>46267</v>
      </c>
      <c r="B73" t="inlineStr">
        <is>
          <t>VD-1069</t>
        </is>
      </c>
      <c r="C73" t="inlineStr">
        <is>
          <t>Juliana Ribeiro</t>
        </is>
      </c>
      <c r="D73" t="inlineStr">
        <is>
          <t>Banqueta Nilo</t>
        </is>
      </c>
      <c r="E73" t="inlineStr">
        <is>
          <t>Móveis</t>
        </is>
      </c>
      <c r="F73" t="n">
        <v>1</v>
      </c>
      <c r="G73" s="7" t="n">
        <v>690</v>
      </c>
      <c r="H73" s="14" t="n">
        <v>0</v>
      </c>
      <c r="I73" s="7" t="n">
        <v>690</v>
      </c>
      <c r="J73" t="inlineStr">
        <is>
          <t>Site</t>
        </is>
      </c>
      <c r="K73" t="inlineStr">
        <is>
          <t>Rafael</t>
        </is>
      </c>
      <c r="L73" t="inlineStr">
        <is>
          <t>Boleto</t>
        </is>
      </c>
    </row>
    <row r="74">
      <c r="A74" s="13" t="n">
        <v>46146</v>
      </c>
      <c r="B74" t="inlineStr">
        <is>
          <t>VD-1070</t>
        </is>
      </c>
      <c r="C74" t="inlineStr">
        <is>
          <t>Felipe Mendes</t>
        </is>
      </c>
      <c r="D74" t="inlineStr">
        <is>
          <t>Aparador Íris</t>
        </is>
      </c>
      <c r="E74" t="inlineStr">
        <is>
          <t>Móveis</t>
        </is>
      </c>
      <c r="F74" t="n">
        <v>1</v>
      </c>
      <c r="G74" s="7" t="n">
        <v>1490</v>
      </c>
      <c r="H74" s="14" t="n">
        <v>0.03</v>
      </c>
      <c r="I74" s="7" t="n">
        <v>1445.3</v>
      </c>
      <c r="J74" t="inlineStr">
        <is>
          <t>Google</t>
        </is>
      </c>
      <c r="K74" t="inlineStr">
        <is>
          <t>Rafael</t>
        </is>
      </c>
      <c r="L74" t="inlineStr">
        <is>
          <t>Cartão</t>
        </is>
      </c>
    </row>
    <row r="75">
      <c r="A75" s="13" t="n">
        <v>46065</v>
      </c>
      <c r="B75" t="inlineStr">
        <is>
          <t>VD-1071</t>
        </is>
      </c>
      <c r="C75" t="inlineStr">
        <is>
          <t>Beatriz Souza</t>
        </is>
      </c>
      <c r="D75" t="inlineStr">
        <is>
          <t>Luminária Aura</t>
        </is>
      </c>
      <c r="E75" t="inlineStr">
        <is>
          <t>Iluminação</t>
        </is>
      </c>
      <c r="F75" t="n">
        <v>1</v>
      </c>
      <c r="G75" s="7" t="n">
        <v>389</v>
      </c>
      <c r="H75" s="14" t="n">
        <v>0.05</v>
      </c>
      <c r="I75" s="7" t="n">
        <v>369.55</v>
      </c>
      <c r="J75" t="inlineStr">
        <is>
          <t>Indicação</t>
        </is>
      </c>
      <c r="K75" t="inlineStr">
        <is>
          <t>Marina</t>
        </is>
      </c>
      <c r="L75" t="inlineStr">
        <is>
          <t>Cartão</t>
        </is>
      </c>
    </row>
    <row r="76">
      <c r="A76" s="13" t="n">
        <v>46232</v>
      </c>
      <c r="B76" t="inlineStr">
        <is>
          <t>VD-1072</t>
        </is>
      </c>
      <c r="C76" t="inlineStr">
        <is>
          <t>Rafael Martins</t>
        </is>
      </c>
      <c r="D76" t="inlineStr">
        <is>
          <t>Vaso Terra</t>
        </is>
      </c>
      <c r="E76" t="inlineStr">
        <is>
          <t>Decoração</t>
        </is>
      </c>
      <c r="F76" t="n">
        <v>1</v>
      </c>
      <c r="G76" s="7" t="n">
        <v>189</v>
      </c>
      <c r="H76" s="14" t="n">
        <v>0.05</v>
      </c>
      <c r="I76" s="7" t="n">
        <v>179.55</v>
      </c>
      <c r="J76" t="inlineStr">
        <is>
          <t>Indicação</t>
        </is>
      </c>
      <c r="K76" t="inlineStr">
        <is>
          <t>Rafael</t>
        </is>
      </c>
      <c r="L76" t="inlineStr">
        <is>
          <t>Cartão</t>
        </is>
      </c>
    </row>
    <row r="77">
      <c r="A77" s="13" t="n">
        <v>46034</v>
      </c>
      <c r="B77" t="inlineStr">
        <is>
          <t>VD-1073</t>
        </is>
      </c>
      <c r="C77" t="inlineStr">
        <is>
          <t>Bruno Carvalho</t>
        </is>
      </c>
      <c r="D77" t="inlineStr">
        <is>
          <t>Tapete Siena</t>
        </is>
      </c>
      <c r="E77" t="inlineStr">
        <is>
          <t>Têxtil</t>
        </is>
      </c>
      <c r="F77" t="n">
        <v>1</v>
      </c>
      <c r="G77" s="7" t="n">
        <v>799</v>
      </c>
      <c r="H77" s="14" t="n">
        <v>0</v>
      </c>
      <c r="I77" s="7" t="n">
        <v>799</v>
      </c>
      <c r="J77" t="inlineStr">
        <is>
          <t>Google</t>
        </is>
      </c>
      <c r="K77" t="inlineStr">
        <is>
          <t>Rafael</t>
        </is>
      </c>
      <c r="L77" t="inlineStr">
        <is>
          <t>Cartão</t>
        </is>
      </c>
    </row>
    <row r="78">
      <c r="A78" s="13" t="n">
        <v>46136</v>
      </c>
      <c r="B78" t="inlineStr">
        <is>
          <t>VD-1074</t>
        </is>
      </c>
      <c r="C78" t="inlineStr">
        <is>
          <t>Caio Barros</t>
        </is>
      </c>
      <c r="D78" t="inlineStr">
        <is>
          <t>Banqueta Nilo</t>
        </is>
      </c>
      <c r="E78" t="inlineStr">
        <is>
          <t>Móveis</t>
        </is>
      </c>
      <c r="F78" t="n">
        <v>1</v>
      </c>
      <c r="G78" s="7" t="n">
        <v>690</v>
      </c>
      <c r="H78" s="14" t="n">
        <v>0.05</v>
      </c>
      <c r="I78" s="7" t="n">
        <v>655.5</v>
      </c>
      <c r="J78" t="inlineStr">
        <is>
          <t>Instagram</t>
        </is>
      </c>
      <c r="K78" t="inlineStr">
        <is>
          <t>Rafael</t>
        </is>
      </c>
      <c r="L78" t="inlineStr">
        <is>
          <t>Cartão</t>
        </is>
      </c>
    </row>
    <row r="79">
      <c r="A79" s="13" t="n">
        <v>46231</v>
      </c>
      <c r="B79" t="inlineStr">
        <is>
          <t>VD-1075</t>
        </is>
      </c>
      <c r="C79" t="inlineStr">
        <is>
          <t>Pedro Henrique</t>
        </is>
      </c>
      <c r="D79" t="inlineStr">
        <is>
          <t>Luminária Aura</t>
        </is>
      </c>
      <c r="E79" t="inlineStr">
        <is>
          <t>Iluminação</t>
        </is>
      </c>
      <c r="F79" t="n">
        <v>2</v>
      </c>
      <c r="G79" s="7" t="n">
        <v>389</v>
      </c>
      <c r="H79" s="14" t="n">
        <v>0</v>
      </c>
      <c r="I79" s="7" t="n">
        <v>778</v>
      </c>
      <c r="J79" t="inlineStr">
        <is>
          <t>Site</t>
        </is>
      </c>
      <c r="K79" t="inlineStr">
        <is>
          <t>Marina</t>
        </is>
      </c>
      <c r="L79" t="inlineStr">
        <is>
          <t>Cartão</t>
        </is>
      </c>
    </row>
    <row r="80">
      <c r="A80" s="13" t="n">
        <v>46037</v>
      </c>
      <c r="B80" t="inlineStr">
        <is>
          <t>VD-1076</t>
        </is>
      </c>
      <c r="C80" t="inlineStr">
        <is>
          <t>Manuela Freitas</t>
        </is>
      </c>
      <c r="D80" t="inlineStr">
        <is>
          <t>Poltrona Siena</t>
        </is>
      </c>
      <c r="E80" t="inlineStr">
        <is>
          <t>Móveis</t>
        </is>
      </c>
      <c r="F80" t="n">
        <v>1</v>
      </c>
      <c r="G80" s="7" t="n">
        <v>1290</v>
      </c>
      <c r="H80" s="14" t="n">
        <v>0</v>
      </c>
      <c r="I80" s="7" t="n">
        <v>1290</v>
      </c>
      <c r="J80" t="inlineStr">
        <is>
          <t>Indicação</t>
        </is>
      </c>
      <c r="K80" t="inlineStr">
        <is>
          <t>Marina</t>
        </is>
      </c>
      <c r="L80" t="inlineStr">
        <is>
          <t>Cartão</t>
        </is>
      </c>
    </row>
    <row r="81">
      <c r="A81" s="13" t="n">
        <v>46218</v>
      </c>
      <c r="B81" t="inlineStr">
        <is>
          <t>VD-1077</t>
        </is>
      </c>
      <c r="C81" t="inlineStr">
        <is>
          <t>Larissa Gomes</t>
        </is>
      </c>
      <c r="D81" t="inlineStr">
        <is>
          <t>Vaso Terra</t>
        </is>
      </c>
      <c r="E81" t="inlineStr">
        <is>
          <t>Decoração</t>
        </is>
      </c>
      <c r="F81" t="n">
        <v>1</v>
      </c>
      <c r="G81" s="7" t="n">
        <v>189</v>
      </c>
      <c r="H81" s="14" t="n">
        <v>0.03</v>
      </c>
      <c r="I81" s="7" t="n">
        <v>183.33</v>
      </c>
      <c r="J81" t="inlineStr">
        <is>
          <t>WhatsApp</t>
        </is>
      </c>
      <c r="K81" t="inlineStr">
        <is>
          <t>Rafael</t>
        </is>
      </c>
      <c r="L81" t="inlineStr">
        <is>
          <t>Cartão</t>
        </is>
      </c>
    </row>
    <row r="82">
      <c r="A82" s="13" t="n">
        <v>46153</v>
      </c>
      <c r="B82" t="inlineStr">
        <is>
          <t>VD-1078</t>
        </is>
      </c>
      <c r="C82" t="inlineStr">
        <is>
          <t>Rafael Martins</t>
        </is>
      </c>
      <c r="D82" t="inlineStr">
        <is>
          <t>Poltrona Siena</t>
        </is>
      </c>
      <c r="E82" t="inlineStr">
        <is>
          <t>Móveis</t>
        </is>
      </c>
      <c r="F82" t="n">
        <v>1</v>
      </c>
      <c r="G82" s="7" t="n">
        <v>1290</v>
      </c>
      <c r="H82" s="14" t="n">
        <v>0.08</v>
      </c>
      <c r="I82" s="7" t="n">
        <v>1186.8</v>
      </c>
      <c r="J82" t="inlineStr">
        <is>
          <t>Google</t>
        </is>
      </c>
      <c r="K82" t="inlineStr">
        <is>
          <t>Marina</t>
        </is>
      </c>
      <c r="L82" t="inlineStr">
        <is>
          <t>Boleto</t>
        </is>
      </c>
    </row>
    <row r="83">
      <c r="A83" s="13" t="n">
        <v>46059</v>
      </c>
      <c r="B83" t="inlineStr">
        <is>
          <t>VD-1079</t>
        </is>
      </c>
      <c r="C83" t="inlineStr">
        <is>
          <t>Ana Clara Lima</t>
        </is>
      </c>
      <c r="D83" t="inlineStr">
        <is>
          <t>Mesa Nórdica</t>
        </is>
      </c>
      <c r="E83" t="inlineStr">
        <is>
          <t>Móveis</t>
        </is>
      </c>
      <c r="F83" t="n">
        <v>2</v>
      </c>
      <c r="G83" s="7" t="n">
        <v>1890</v>
      </c>
      <c r="H83" s="14" t="n">
        <v>0</v>
      </c>
      <c r="I83" s="7" t="n">
        <v>3780</v>
      </c>
      <c r="J83" t="inlineStr">
        <is>
          <t>Instagram</t>
        </is>
      </c>
      <c r="K83" t="inlineStr">
        <is>
          <t>Camila</t>
        </is>
      </c>
      <c r="L83" t="inlineStr">
        <is>
          <t>Pix</t>
        </is>
      </c>
    </row>
    <row r="84">
      <c r="A84" s="13" t="n">
        <v>46146</v>
      </c>
      <c r="B84" t="inlineStr">
        <is>
          <t>VD-1080</t>
        </is>
      </c>
      <c r="C84" t="inlineStr">
        <is>
          <t>Valentina Moura</t>
        </is>
      </c>
      <c r="D84" t="inlineStr">
        <is>
          <t>Luminária Aura</t>
        </is>
      </c>
      <c r="E84" t="inlineStr">
        <is>
          <t>Iluminação</t>
        </is>
      </c>
      <c r="F84" t="n">
        <v>1</v>
      </c>
      <c r="G84" s="7" t="n">
        <v>389</v>
      </c>
      <c r="H84" s="14" t="n">
        <v>0</v>
      </c>
      <c r="I84" s="7" t="n">
        <v>389</v>
      </c>
      <c r="J84" t="inlineStr">
        <is>
          <t>Indicação</t>
        </is>
      </c>
      <c r="K84" t="inlineStr">
        <is>
          <t>Rafael</t>
        </is>
      </c>
      <c r="L84" t="inlineStr">
        <is>
          <t>Boleto</t>
        </is>
      </c>
    </row>
    <row r="85">
      <c r="A85" s="13" t="n">
        <v>46155</v>
      </c>
      <c r="B85" t="inlineStr">
        <is>
          <t>VD-1081</t>
        </is>
      </c>
      <c r="C85" t="inlineStr">
        <is>
          <t>Lucas Ferreira</t>
        </is>
      </c>
      <c r="D85" t="inlineStr">
        <is>
          <t>Vaso Terra</t>
        </is>
      </c>
      <c r="E85" t="inlineStr">
        <is>
          <t>Decoração</t>
        </is>
      </c>
      <c r="F85" t="n">
        <v>1</v>
      </c>
      <c r="G85" s="7" t="n">
        <v>189</v>
      </c>
      <c r="H85" s="14" t="n">
        <v>0.08</v>
      </c>
      <c r="I85" s="7" t="n">
        <v>173.88</v>
      </c>
      <c r="J85" t="inlineStr">
        <is>
          <t>Indicação</t>
        </is>
      </c>
      <c r="K85" t="inlineStr">
        <is>
          <t>Rafael</t>
        </is>
      </c>
      <c r="L85" t="inlineStr">
        <is>
          <t>Pix</t>
        </is>
      </c>
    </row>
    <row r="86">
      <c r="A86" s="13" t="n">
        <v>46037</v>
      </c>
      <c r="B86" t="inlineStr">
        <is>
          <t>VD-1082</t>
        </is>
      </c>
      <c r="C86" t="inlineStr">
        <is>
          <t>Isabela Dias</t>
        </is>
      </c>
      <c r="D86" t="inlineStr">
        <is>
          <t>Aparador Íris</t>
        </is>
      </c>
      <c r="E86" t="inlineStr">
        <is>
          <t>Móveis</t>
        </is>
      </c>
      <c r="F86" t="n">
        <v>1</v>
      </c>
      <c r="G86" s="7" t="n">
        <v>1490</v>
      </c>
      <c r="H86" s="14" t="n">
        <v>0.05</v>
      </c>
      <c r="I86" s="7" t="n">
        <v>1415.5</v>
      </c>
      <c r="J86" t="inlineStr">
        <is>
          <t>Indicação</t>
        </is>
      </c>
      <c r="K86" t="inlineStr">
        <is>
          <t>Marina</t>
        </is>
      </c>
      <c r="L86" t="inlineStr">
        <is>
          <t>Boleto</t>
        </is>
      </c>
    </row>
    <row r="87">
      <c r="A87" s="13" t="n">
        <v>46148</v>
      </c>
      <c r="B87" t="inlineStr">
        <is>
          <t>VD-1083</t>
        </is>
      </c>
      <c r="C87" t="inlineStr">
        <is>
          <t>Pedro Henrique</t>
        </is>
      </c>
      <c r="D87" t="inlineStr">
        <is>
          <t>Poltrona Siena</t>
        </is>
      </c>
      <c r="E87" t="inlineStr">
        <is>
          <t>Móveis</t>
        </is>
      </c>
      <c r="F87" t="n">
        <v>1</v>
      </c>
      <c r="G87" s="7" t="n">
        <v>1290</v>
      </c>
      <c r="H87" s="14" t="n">
        <v>0.03</v>
      </c>
      <c r="I87" s="7" t="n">
        <v>1251.3</v>
      </c>
      <c r="J87" t="inlineStr">
        <is>
          <t>Instagram</t>
        </is>
      </c>
      <c r="K87" t="inlineStr">
        <is>
          <t>Camila</t>
        </is>
      </c>
      <c r="L87" t="inlineStr">
        <is>
          <t>Pix</t>
        </is>
      </c>
    </row>
    <row r="88">
      <c r="A88" s="13" t="n">
        <v>46201</v>
      </c>
      <c r="B88" t="inlineStr">
        <is>
          <t>VD-1084</t>
        </is>
      </c>
      <c r="C88" t="inlineStr">
        <is>
          <t>Camila Rocha</t>
        </is>
      </c>
      <c r="D88" t="inlineStr">
        <is>
          <t>Luminária Cora</t>
        </is>
      </c>
      <c r="E88" t="inlineStr">
        <is>
          <t>Iluminação</t>
        </is>
      </c>
      <c r="F88" t="n">
        <v>1</v>
      </c>
      <c r="G88" s="7" t="n">
        <v>459</v>
      </c>
      <c r="H88" s="14" t="n">
        <v>0.03</v>
      </c>
      <c r="I88" s="7" t="n">
        <v>445.23</v>
      </c>
      <c r="J88" t="inlineStr">
        <is>
          <t>Site</t>
        </is>
      </c>
      <c r="K88" t="inlineStr">
        <is>
          <t>Camila</t>
        </is>
      </c>
      <c r="L88" t="inlineStr">
        <is>
          <t>Cartão</t>
        </is>
      </c>
    </row>
    <row r="89">
      <c r="A89" s="13" t="n">
        <v>46030</v>
      </c>
      <c r="B89" t="inlineStr">
        <is>
          <t>VD-1085</t>
        </is>
      </c>
      <c r="C89" t="inlineStr">
        <is>
          <t>Thiago Oliveira</t>
        </is>
      </c>
      <c r="D89" t="inlineStr">
        <is>
          <t>Quadro Horizonte</t>
        </is>
      </c>
      <c r="E89" t="inlineStr">
        <is>
          <t>Decoração</t>
        </is>
      </c>
      <c r="F89" t="n">
        <v>2</v>
      </c>
      <c r="G89" s="7" t="n">
        <v>299</v>
      </c>
      <c r="H89" s="14" t="n">
        <v>0</v>
      </c>
      <c r="I89" s="7" t="n">
        <v>598</v>
      </c>
      <c r="J89" t="inlineStr">
        <is>
          <t>Google</t>
        </is>
      </c>
      <c r="K89" t="inlineStr">
        <is>
          <t>Camila</t>
        </is>
      </c>
      <c r="L89" t="inlineStr">
        <is>
          <t>Cartão</t>
        </is>
      </c>
    </row>
    <row r="90">
      <c r="A90" s="13" t="n">
        <v>46102</v>
      </c>
      <c r="B90" t="inlineStr">
        <is>
          <t>VD-1086</t>
        </is>
      </c>
      <c r="C90" t="inlineStr">
        <is>
          <t>Juliana Ribeiro</t>
        </is>
      </c>
      <c r="D90" t="inlineStr">
        <is>
          <t>Quadro Horizonte</t>
        </is>
      </c>
      <c r="E90" t="inlineStr">
        <is>
          <t>Decoração</t>
        </is>
      </c>
      <c r="F90" t="n">
        <v>1</v>
      </c>
      <c r="G90" s="7" t="n">
        <v>299</v>
      </c>
      <c r="H90" s="14" t="n">
        <v>0.08</v>
      </c>
      <c r="I90" s="7" t="n">
        <v>275.08</v>
      </c>
      <c r="J90" t="inlineStr">
        <is>
          <t>Site</t>
        </is>
      </c>
      <c r="K90" t="inlineStr">
        <is>
          <t>Camila</t>
        </is>
      </c>
      <c r="L90" t="inlineStr">
        <is>
          <t>Cartão</t>
        </is>
      </c>
    </row>
    <row r="91">
      <c r="A91" s="13" t="n">
        <v>46262</v>
      </c>
      <c r="B91" t="inlineStr">
        <is>
          <t>VD-1087</t>
        </is>
      </c>
      <c r="C91" t="inlineStr">
        <is>
          <t>Juliana Ribeiro</t>
        </is>
      </c>
      <c r="D91" t="inlineStr">
        <is>
          <t>Quadro Horizonte</t>
        </is>
      </c>
      <c r="E91" t="inlineStr">
        <is>
          <t>Decoração</t>
        </is>
      </c>
      <c r="F91" t="n">
        <v>2</v>
      </c>
      <c r="G91" s="7" t="n">
        <v>299</v>
      </c>
      <c r="H91" s="14" t="n">
        <v>0.08</v>
      </c>
      <c r="I91" s="7" t="n">
        <v>550.16</v>
      </c>
      <c r="J91" t="inlineStr">
        <is>
          <t>Google</t>
        </is>
      </c>
      <c r="K91" t="inlineStr">
        <is>
          <t>Marina</t>
        </is>
      </c>
      <c r="L91" t="inlineStr">
        <is>
          <t>Pix</t>
        </is>
      </c>
    </row>
    <row r="92">
      <c r="A92" s="13" t="n">
        <v>46166</v>
      </c>
      <c r="B92" t="inlineStr">
        <is>
          <t>VD-1088</t>
        </is>
      </c>
      <c r="C92" t="inlineStr">
        <is>
          <t>Valentina Moura</t>
        </is>
      </c>
      <c r="D92" t="inlineStr">
        <is>
          <t>Banqueta Nilo</t>
        </is>
      </c>
      <c r="E92" t="inlineStr">
        <is>
          <t>Móveis</t>
        </is>
      </c>
      <c r="F92" t="n">
        <v>1</v>
      </c>
      <c r="G92" s="7" t="n">
        <v>690</v>
      </c>
      <c r="H92" s="14" t="n">
        <v>0.05</v>
      </c>
      <c r="I92" s="7" t="n">
        <v>655.5</v>
      </c>
      <c r="J92" t="inlineStr">
        <is>
          <t>Site</t>
        </is>
      </c>
      <c r="K92" t="inlineStr">
        <is>
          <t>Camila</t>
        </is>
      </c>
      <c r="L92" t="inlineStr">
        <is>
          <t>Cartão</t>
        </is>
      </c>
    </row>
    <row r="93">
      <c r="A93" s="13" t="n">
        <v>46196</v>
      </c>
      <c r="B93" t="inlineStr">
        <is>
          <t>VD-1089</t>
        </is>
      </c>
      <c r="C93" t="inlineStr">
        <is>
          <t>Gabriel Costa</t>
        </is>
      </c>
      <c r="D93" t="inlineStr">
        <is>
          <t>Mesa Nórdica</t>
        </is>
      </c>
      <c r="E93" t="inlineStr">
        <is>
          <t>Móveis</t>
        </is>
      </c>
      <c r="F93" t="n">
        <v>1</v>
      </c>
      <c r="G93" s="7" t="n">
        <v>1890</v>
      </c>
      <c r="H93" s="14" t="n">
        <v>0.03</v>
      </c>
      <c r="I93" s="7" t="n">
        <v>1833.3</v>
      </c>
      <c r="J93" t="inlineStr">
        <is>
          <t>WhatsApp</t>
        </is>
      </c>
      <c r="K93" t="inlineStr">
        <is>
          <t>Marina</t>
        </is>
      </c>
      <c r="L93" t="inlineStr">
        <is>
          <t>Cartão</t>
        </is>
      </c>
    </row>
    <row r="94">
      <c r="A94" s="13" t="n">
        <v>46156</v>
      </c>
      <c r="B94" t="inlineStr">
        <is>
          <t>VD-1090</t>
        </is>
      </c>
      <c r="C94" t="inlineStr">
        <is>
          <t>Juliana Ribeiro</t>
        </is>
      </c>
      <c r="D94" t="inlineStr">
        <is>
          <t>Vaso Terra</t>
        </is>
      </c>
      <c r="E94" t="inlineStr">
        <is>
          <t>Decoração</t>
        </is>
      </c>
      <c r="F94" t="n">
        <v>1</v>
      </c>
      <c r="G94" s="7" t="n">
        <v>189</v>
      </c>
      <c r="H94" s="14" t="n">
        <v>0.08</v>
      </c>
      <c r="I94" s="7" t="n">
        <v>173.88</v>
      </c>
      <c r="J94" t="inlineStr">
        <is>
          <t>Site</t>
        </is>
      </c>
      <c r="K94" t="inlineStr">
        <is>
          <t>Marina</t>
        </is>
      </c>
      <c r="L94" t="inlineStr">
        <is>
          <t>Boleto</t>
        </is>
      </c>
    </row>
    <row r="95">
      <c r="A95" s="13" t="n">
        <v>46121</v>
      </c>
      <c r="B95" t="inlineStr">
        <is>
          <t>VD-1091</t>
        </is>
      </c>
      <c r="C95" t="inlineStr">
        <is>
          <t>Caio Barros</t>
        </is>
      </c>
      <c r="D95" t="inlineStr">
        <is>
          <t>Poltrona Siena</t>
        </is>
      </c>
      <c r="E95" t="inlineStr">
        <is>
          <t>Móveis</t>
        </is>
      </c>
      <c r="F95" t="n">
        <v>1</v>
      </c>
      <c r="G95" s="7" t="n">
        <v>1290</v>
      </c>
      <c r="H95" s="14" t="n">
        <v>0.05</v>
      </c>
      <c r="I95" s="7" t="n">
        <v>1225.5</v>
      </c>
      <c r="J95" t="inlineStr">
        <is>
          <t>Site</t>
        </is>
      </c>
      <c r="K95" t="inlineStr">
        <is>
          <t>Marina</t>
        </is>
      </c>
      <c r="L95" t="inlineStr">
        <is>
          <t>Boleto</t>
        </is>
      </c>
    </row>
    <row r="96">
      <c r="A96" s="13" t="n">
        <v>46267</v>
      </c>
      <c r="B96" t="inlineStr">
        <is>
          <t>VD-1092</t>
        </is>
      </c>
      <c r="C96" t="inlineStr">
        <is>
          <t>Camila Rocha</t>
        </is>
      </c>
      <c r="D96" t="inlineStr">
        <is>
          <t>Banqueta Nilo</t>
        </is>
      </c>
      <c r="E96" t="inlineStr">
        <is>
          <t>Móveis</t>
        </is>
      </c>
      <c r="F96" t="n">
        <v>1</v>
      </c>
      <c r="G96" s="7" t="n">
        <v>690</v>
      </c>
      <c r="H96" s="14" t="n">
        <v>0</v>
      </c>
      <c r="I96" s="7" t="n">
        <v>690</v>
      </c>
      <c r="J96" t="inlineStr">
        <is>
          <t>Google</t>
        </is>
      </c>
      <c r="K96" t="inlineStr">
        <is>
          <t>Marina</t>
        </is>
      </c>
      <c r="L96" t="inlineStr">
        <is>
          <t>Cartão</t>
        </is>
      </c>
    </row>
    <row r="97">
      <c r="A97" s="13" t="n">
        <v>46148</v>
      </c>
      <c r="B97" t="inlineStr">
        <is>
          <t>VD-1093</t>
        </is>
      </c>
      <c r="C97" t="inlineStr">
        <is>
          <t>Caio Barros</t>
        </is>
      </c>
      <c r="D97" t="inlineStr">
        <is>
          <t>Aparador Íris</t>
        </is>
      </c>
      <c r="E97" t="inlineStr">
        <is>
          <t>Móveis</t>
        </is>
      </c>
      <c r="F97" t="n">
        <v>1</v>
      </c>
      <c r="G97" s="7" t="n">
        <v>1490</v>
      </c>
      <c r="H97" s="14" t="n">
        <v>0.03</v>
      </c>
      <c r="I97" s="7" t="n">
        <v>1445.3</v>
      </c>
      <c r="J97" t="inlineStr">
        <is>
          <t>Site</t>
        </is>
      </c>
      <c r="K97" t="inlineStr">
        <is>
          <t>Camila</t>
        </is>
      </c>
      <c r="L97" t="inlineStr">
        <is>
          <t>Cartão</t>
        </is>
      </c>
    </row>
    <row r="98">
      <c r="A98" s="13" t="n">
        <v>46241</v>
      </c>
      <c r="B98" t="inlineStr">
        <is>
          <t>VD-1094</t>
        </is>
      </c>
      <c r="C98" t="inlineStr">
        <is>
          <t>Juliana Ribeiro</t>
        </is>
      </c>
      <c r="D98" t="inlineStr">
        <is>
          <t>Luminária Cora</t>
        </is>
      </c>
      <c r="E98" t="inlineStr">
        <is>
          <t>Iluminação</t>
        </is>
      </c>
      <c r="F98" t="n">
        <v>1</v>
      </c>
      <c r="G98" s="7" t="n">
        <v>459</v>
      </c>
      <c r="H98" s="14" t="n">
        <v>0.05</v>
      </c>
      <c r="I98" s="7" t="n">
        <v>436.05</v>
      </c>
      <c r="J98" t="inlineStr">
        <is>
          <t>Google</t>
        </is>
      </c>
      <c r="K98" t="inlineStr">
        <is>
          <t>Rafael</t>
        </is>
      </c>
      <c r="L98" t="inlineStr">
        <is>
          <t>Pix</t>
        </is>
      </c>
    </row>
    <row r="99">
      <c r="A99" s="13" t="n">
        <v>46085</v>
      </c>
      <c r="B99" t="inlineStr">
        <is>
          <t>VD-1095</t>
        </is>
      </c>
      <c r="C99" t="inlineStr">
        <is>
          <t>Gabriel Costa</t>
        </is>
      </c>
      <c r="D99" t="inlineStr">
        <is>
          <t>Espelho Arco</t>
        </is>
      </c>
      <c r="E99" t="inlineStr">
        <is>
          <t>Decoração</t>
        </is>
      </c>
      <c r="F99" t="n">
        <v>1</v>
      </c>
      <c r="G99" s="7" t="n">
        <v>549</v>
      </c>
      <c r="H99" s="14" t="n">
        <v>0.08</v>
      </c>
      <c r="I99" s="7" t="n">
        <v>505.08</v>
      </c>
      <c r="J99" t="inlineStr">
        <is>
          <t>Indicação</t>
        </is>
      </c>
      <c r="K99" t="inlineStr">
        <is>
          <t>Marina</t>
        </is>
      </c>
      <c r="L99" t="inlineStr">
        <is>
          <t>Boleto</t>
        </is>
      </c>
    </row>
    <row r="100">
      <c r="A100" s="13" t="n">
        <v>46271</v>
      </c>
      <c r="B100" t="inlineStr">
        <is>
          <t>VD-1096</t>
        </is>
      </c>
      <c r="C100" t="inlineStr">
        <is>
          <t>Pedro Henrique</t>
        </is>
      </c>
      <c r="D100" t="inlineStr">
        <is>
          <t>Aparador Íris</t>
        </is>
      </c>
      <c r="E100" t="inlineStr">
        <is>
          <t>Móveis</t>
        </is>
      </c>
      <c r="F100" t="n">
        <v>1</v>
      </c>
      <c r="G100" s="7" t="n">
        <v>1490</v>
      </c>
      <c r="H100" s="14" t="n">
        <v>0.08</v>
      </c>
      <c r="I100" s="7" t="n">
        <v>1370.8</v>
      </c>
      <c r="J100" t="inlineStr">
        <is>
          <t>Google</t>
        </is>
      </c>
      <c r="K100" t="inlineStr">
        <is>
          <t>Marina</t>
        </is>
      </c>
      <c r="L100" t="inlineStr">
        <is>
          <t>Pix</t>
        </is>
      </c>
    </row>
    <row r="101">
      <c r="A101" s="13" t="n">
        <v>46175</v>
      </c>
      <c r="B101" t="inlineStr">
        <is>
          <t>VD-1097</t>
        </is>
      </c>
      <c r="C101" t="inlineStr">
        <is>
          <t>Mariana Alves</t>
        </is>
      </c>
      <c r="D101" t="inlineStr">
        <is>
          <t>Espelho Arco</t>
        </is>
      </c>
      <c r="E101" t="inlineStr">
        <is>
          <t>Decoração</t>
        </is>
      </c>
      <c r="F101" t="n">
        <v>1</v>
      </c>
      <c r="G101" s="7" t="n">
        <v>549</v>
      </c>
      <c r="H101" s="14" t="n">
        <v>0.03</v>
      </c>
      <c r="I101" s="7" t="n">
        <v>532.53</v>
      </c>
      <c r="J101" t="inlineStr">
        <is>
          <t>Site</t>
        </is>
      </c>
      <c r="K101" t="inlineStr">
        <is>
          <t>Marina</t>
        </is>
      </c>
      <c r="L101" t="inlineStr">
        <is>
          <t>Cartão</t>
        </is>
      </c>
    </row>
    <row r="102">
      <c r="A102" s="13" t="n">
        <v>46047</v>
      </c>
      <c r="B102" t="inlineStr">
        <is>
          <t>VD-1098</t>
        </is>
      </c>
      <c r="C102" t="inlineStr">
        <is>
          <t>Caio Barros</t>
        </is>
      </c>
      <c r="D102" t="inlineStr">
        <is>
          <t>Mesa Nórdica</t>
        </is>
      </c>
      <c r="E102" t="inlineStr">
        <is>
          <t>Móveis</t>
        </is>
      </c>
      <c r="F102" t="n">
        <v>1</v>
      </c>
      <c r="G102" s="7" t="n">
        <v>1890</v>
      </c>
      <c r="H102" s="14" t="n">
        <v>0</v>
      </c>
      <c r="I102" s="7" t="n">
        <v>1890</v>
      </c>
      <c r="J102" t="inlineStr">
        <is>
          <t>Instagram</t>
        </is>
      </c>
      <c r="K102" t="inlineStr">
        <is>
          <t>Marina</t>
        </is>
      </c>
      <c r="L102" t="inlineStr">
        <is>
          <t>Boleto</t>
        </is>
      </c>
    </row>
    <row r="103">
      <c r="A103" s="13" t="n">
        <v>46169</v>
      </c>
      <c r="B103" t="inlineStr">
        <is>
          <t>VD-1099</t>
        </is>
      </c>
      <c r="C103" t="inlineStr">
        <is>
          <t>Gabriel Costa</t>
        </is>
      </c>
      <c r="D103" t="inlineStr">
        <is>
          <t>Banqueta Nilo</t>
        </is>
      </c>
      <c r="E103" t="inlineStr">
        <is>
          <t>Móveis</t>
        </is>
      </c>
      <c r="F103" t="n">
        <v>1</v>
      </c>
      <c r="G103" s="7" t="n">
        <v>690</v>
      </c>
      <c r="H103" s="14" t="n">
        <v>0.03</v>
      </c>
      <c r="I103" s="7" t="n">
        <v>669.3</v>
      </c>
      <c r="J103" t="inlineStr">
        <is>
          <t>Instagram</t>
        </is>
      </c>
      <c r="K103" t="inlineStr">
        <is>
          <t>Rafael</t>
        </is>
      </c>
      <c r="L103" t="inlineStr">
        <is>
          <t>Cartão</t>
        </is>
      </c>
    </row>
    <row r="104">
      <c r="A104" s="13" t="n">
        <v>46082</v>
      </c>
      <c r="B104" t="inlineStr">
        <is>
          <t>VD-1100</t>
        </is>
      </c>
      <c r="C104" t="inlineStr">
        <is>
          <t>Valentina Moura</t>
        </is>
      </c>
      <c r="D104" t="inlineStr">
        <is>
          <t>Poltrona Siena</t>
        </is>
      </c>
      <c r="E104" t="inlineStr">
        <is>
          <t>Móveis</t>
        </is>
      </c>
      <c r="F104" t="n">
        <v>1</v>
      </c>
      <c r="G104" s="7" t="n">
        <v>1290</v>
      </c>
      <c r="H104" s="14" t="n">
        <v>0</v>
      </c>
      <c r="I104" s="7" t="n">
        <v>1290</v>
      </c>
      <c r="J104" t="inlineStr">
        <is>
          <t>Instagram</t>
        </is>
      </c>
      <c r="K104" t="inlineStr">
        <is>
          <t>Marina</t>
        </is>
      </c>
      <c r="L104" t="inlineStr">
        <is>
          <t>Pix</t>
        </is>
      </c>
    </row>
    <row r="105">
      <c r="A105" s="13" t="n">
        <v>46179</v>
      </c>
      <c r="B105" t="inlineStr">
        <is>
          <t>VD-1101</t>
        </is>
      </c>
      <c r="C105" t="inlineStr">
        <is>
          <t>Henrique Ramos</t>
        </is>
      </c>
      <c r="D105" t="inlineStr">
        <is>
          <t>Poltrona Siena</t>
        </is>
      </c>
      <c r="E105" t="inlineStr">
        <is>
          <t>Móveis</t>
        </is>
      </c>
      <c r="F105" t="n">
        <v>3</v>
      </c>
      <c r="G105" s="7" t="n">
        <v>1290</v>
      </c>
      <c r="H105" s="14" t="n">
        <v>0</v>
      </c>
      <c r="I105" s="7" t="n">
        <v>3870</v>
      </c>
      <c r="J105" t="inlineStr">
        <is>
          <t>WhatsApp</t>
        </is>
      </c>
      <c r="K105" t="inlineStr">
        <is>
          <t>Camila</t>
        </is>
      </c>
      <c r="L105" t="inlineStr">
        <is>
          <t>Boleto</t>
        </is>
      </c>
    </row>
    <row r="106">
      <c r="A106" s="13" t="n">
        <v>46139</v>
      </c>
      <c r="B106" t="inlineStr">
        <is>
          <t>VD-1102</t>
        </is>
      </c>
      <c r="C106" t="inlineStr">
        <is>
          <t>Eduardo Nunes</t>
        </is>
      </c>
      <c r="D106" t="inlineStr">
        <is>
          <t>Luminária Cora</t>
        </is>
      </c>
      <c r="E106" t="inlineStr">
        <is>
          <t>Iluminação</t>
        </is>
      </c>
      <c r="F106" t="n">
        <v>1</v>
      </c>
      <c r="G106" s="7" t="n">
        <v>459</v>
      </c>
      <c r="H106" s="14" t="n">
        <v>0.05</v>
      </c>
      <c r="I106" s="7" t="n">
        <v>436.05</v>
      </c>
      <c r="J106" t="inlineStr">
        <is>
          <t>Site</t>
        </is>
      </c>
      <c r="K106" t="inlineStr">
        <is>
          <t>Rafael</t>
        </is>
      </c>
      <c r="L106" t="inlineStr">
        <is>
          <t>Cartão</t>
        </is>
      </c>
    </row>
    <row r="107">
      <c r="A107" s="13" t="n">
        <v>46054</v>
      </c>
      <c r="B107" t="inlineStr">
        <is>
          <t>VD-1103</t>
        </is>
      </c>
      <c r="C107" t="inlineStr">
        <is>
          <t>Ana Clara Lima</t>
        </is>
      </c>
      <c r="D107" t="inlineStr">
        <is>
          <t>Tapete Siena</t>
        </is>
      </c>
      <c r="E107" t="inlineStr">
        <is>
          <t>Têxtil</t>
        </is>
      </c>
      <c r="F107" t="n">
        <v>3</v>
      </c>
      <c r="G107" s="7" t="n">
        <v>799</v>
      </c>
      <c r="H107" s="14" t="n">
        <v>0</v>
      </c>
      <c r="I107" s="7" t="n">
        <v>2397</v>
      </c>
      <c r="J107" t="inlineStr">
        <is>
          <t>Indicação</t>
        </is>
      </c>
      <c r="K107" t="inlineStr">
        <is>
          <t>Rafael</t>
        </is>
      </c>
      <c r="L107" t="inlineStr">
        <is>
          <t>Boleto</t>
        </is>
      </c>
    </row>
    <row r="108">
      <c r="A108" s="13" t="n">
        <v>46065</v>
      </c>
      <c r="B108" t="inlineStr">
        <is>
          <t>VD-1104</t>
        </is>
      </c>
      <c r="C108" t="inlineStr">
        <is>
          <t>Camila Rocha</t>
        </is>
      </c>
      <c r="D108" t="inlineStr">
        <is>
          <t>Luminária Aura</t>
        </is>
      </c>
      <c r="E108" t="inlineStr">
        <is>
          <t>Iluminação</t>
        </is>
      </c>
      <c r="F108" t="n">
        <v>1</v>
      </c>
      <c r="G108" s="7" t="n">
        <v>389</v>
      </c>
      <c r="H108" s="14" t="n">
        <v>0.08</v>
      </c>
      <c r="I108" s="7" t="n">
        <v>357.88</v>
      </c>
      <c r="J108" t="inlineStr">
        <is>
          <t>Indicação</t>
        </is>
      </c>
      <c r="K108" t="inlineStr">
        <is>
          <t>Marina</t>
        </is>
      </c>
      <c r="L108" t="inlineStr">
        <is>
          <t>Cartão</t>
        </is>
      </c>
    </row>
    <row r="109">
      <c r="A109" s="13" t="n">
        <v>46254</v>
      </c>
      <c r="B109" t="inlineStr">
        <is>
          <t>VD-1105</t>
        </is>
      </c>
      <c r="C109" t="inlineStr">
        <is>
          <t>Felipe Mendes</t>
        </is>
      </c>
      <c r="D109" t="inlineStr">
        <is>
          <t>Tapete Siena</t>
        </is>
      </c>
      <c r="E109" t="inlineStr">
        <is>
          <t>Têxtil</t>
        </is>
      </c>
      <c r="F109" t="n">
        <v>1</v>
      </c>
      <c r="G109" s="7" t="n">
        <v>799</v>
      </c>
      <c r="H109" s="14" t="n">
        <v>0</v>
      </c>
      <c r="I109" s="7" t="n">
        <v>799</v>
      </c>
      <c r="J109" t="inlineStr">
        <is>
          <t>Google</t>
        </is>
      </c>
      <c r="K109" t="inlineStr">
        <is>
          <t>Camila</t>
        </is>
      </c>
      <c r="L109" t="inlineStr">
        <is>
          <t>Cartão</t>
        </is>
      </c>
    </row>
    <row r="110">
      <c r="A110" s="13" t="n">
        <v>46256</v>
      </c>
      <c r="B110" t="inlineStr">
        <is>
          <t>VD-1106</t>
        </is>
      </c>
      <c r="C110" t="inlineStr">
        <is>
          <t>Valentina Moura</t>
        </is>
      </c>
      <c r="D110" t="inlineStr">
        <is>
          <t>Poltrona Siena</t>
        </is>
      </c>
      <c r="E110" t="inlineStr">
        <is>
          <t>Móveis</t>
        </is>
      </c>
      <c r="F110" t="n">
        <v>1</v>
      </c>
      <c r="G110" s="7" t="n">
        <v>1290</v>
      </c>
      <c r="H110" s="14" t="n">
        <v>0.03</v>
      </c>
      <c r="I110" s="7" t="n">
        <v>1251.3</v>
      </c>
      <c r="J110" t="inlineStr">
        <is>
          <t>Indicação</t>
        </is>
      </c>
      <c r="K110" t="inlineStr">
        <is>
          <t>Rafael</t>
        </is>
      </c>
      <c r="L110" t="inlineStr">
        <is>
          <t>Pix</t>
        </is>
      </c>
    </row>
    <row r="111">
      <c r="A111" s="13" t="n">
        <v>46139</v>
      </c>
      <c r="B111" t="inlineStr">
        <is>
          <t>VD-1107</t>
        </is>
      </c>
      <c r="C111" t="inlineStr">
        <is>
          <t>Camila Rocha</t>
        </is>
      </c>
      <c r="D111" t="inlineStr">
        <is>
          <t>Luminária Aura</t>
        </is>
      </c>
      <c r="E111" t="inlineStr">
        <is>
          <t>Iluminação</t>
        </is>
      </c>
      <c r="F111" t="n">
        <v>2</v>
      </c>
      <c r="G111" s="7" t="n">
        <v>389</v>
      </c>
      <c r="H111" s="14" t="n">
        <v>0</v>
      </c>
      <c r="I111" s="7" t="n">
        <v>778</v>
      </c>
      <c r="J111" t="inlineStr">
        <is>
          <t>Instagram</t>
        </is>
      </c>
      <c r="K111" t="inlineStr">
        <is>
          <t>Marina</t>
        </is>
      </c>
      <c r="L111" t="inlineStr">
        <is>
          <t>Cartão</t>
        </is>
      </c>
    </row>
    <row r="112">
      <c r="A112" s="13" t="n">
        <v>46171</v>
      </c>
      <c r="B112" t="inlineStr">
        <is>
          <t>VD-1108</t>
        </is>
      </c>
      <c r="C112" t="inlineStr">
        <is>
          <t>Isabela Dias</t>
        </is>
      </c>
      <c r="D112" t="inlineStr">
        <is>
          <t>Banqueta Nilo</t>
        </is>
      </c>
      <c r="E112" t="inlineStr">
        <is>
          <t>Móveis</t>
        </is>
      </c>
      <c r="F112" t="n">
        <v>1</v>
      </c>
      <c r="G112" s="7" t="n">
        <v>690</v>
      </c>
      <c r="H112" s="14" t="n">
        <v>0.03</v>
      </c>
      <c r="I112" s="7" t="n">
        <v>669.3</v>
      </c>
      <c r="J112" t="inlineStr">
        <is>
          <t>Google</t>
        </is>
      </c>
      <c r="K112" t="inlineStr">
        <is>
          <t>Camila</t>
        </is>
      </c>
      <c r="L112" t="inlineStr">
        <is>
          <t>Boleto</t>
        </is>
      </c>
    </row>
    <row r="113">
      <c r="A113" s="13" t="n">
        <v>46276</v>
      </c>
      <c r="B113" t="inlineStr">
        <is>
          <t>VD-1109</t>
        </is>
      </c>
      <c r="C113" t="inlineStr">
        <is>
          <t>Thiago Oliveira</t>
        </is>
      </c>
      <c r="D113" t="inlineStr">
        <is>
          <t>Banqueta Nilo</t>
        </is>
      </c>
      <c r="E113" t="inlineStr">
        <is>
          <t>Móveis</t>
        </is>
      </c>
      <c r="F113" t="n">
        <v>1</v>
      </c>
      <c r="G113" s="7" t="n">
        <v>690</v>
      </c>
      <c r="H113" s="14" t="n">
        <v>0</v>
      </c>
      <c r="I113" s="7" t="n">
        <v>690</v>
      </c>
      <c r="J113" t="inlineStr">
        <is>
          <t>Google</t>
        </is>
      </c>
      <c r="K113" t="inlineStr">
        <is>
          <t>Camila</t>
        </is>
      </c>
      <c r="L113" t="inlineStr">
        <is>
          <t>Cartão</t>
        </is>
      </c>
    </row>
    <row r="114">
      <c r="A114" s="13" t="n">
        <v>46037</v>
      </c>
      <c r="B114" t="inlineStr">
        <is>
          <t>VD-1110</t>
        </is>
      </c>
      <c r="C114" t="inlineStr">
        <is>
          <t>Valentina Moura</t>
        </is>
      </c>
      <c r="D114" t="inlineStr">
        <is>
          <t>Poltrona Siena</t>
        </is>
      </c>
      <c r="E114" t="inlineStr">
        <is>
          <t>Móveis</t>
        </is>
      </c>
      <c r="F114" t="n">
        <v>1</v>
      </c>
      <c r="G114" s="7" t="n">
        <v>1290</v>
      </c>
      <c r="H114" s="14" t="n">
        <v>0.08</v>
      </c>
      <c r="I114" s="7" t="n">
        <v>1186.8</v>
      </c>
      <c r="J114" t="inlineStr">
        <is>
          <t>Instagram</t>
        </is>
      </c>
      <c r="K114" t="inlineStr">
        <is>
          <t>Camila</t>
        </is>
      </c>
      <c r="L114" t="inlineStr">
        <is>
          <t>Cartão</t>
        </is>
      </c>
    </row>
    <row r="115">
      <c r="A115" s="13" t="n">
        <v>46044</v>
      </c>
      <c r="B115" t="inlineStr">
        <is>
          <t>VD-1111</t>
        </is>
      </c>
      <c r="C115" t="inlineStr">
        <is>
          <t>Juliana Ribeiro</t>
        </is>
      </c>
      <c r="D115" t="inlineStr">
        <is>
          <t>Luminária Aura</t>
        </is>
      </c>
      <c r="E115" t="inlineStr">
        <is>
          <t>Iluminação</t>
        </is>
      </c>
      <c r="F115" t="n">
        <v>1</v>
      </c>
      <c r="G115" s="7" t="n">
        <v>389</v>
      </c>
      <c r="H115" s="14" t="n">
        <v>0.05</v>
      </c>
      <c r="I115" s="7" t="n">
        <v>369.55</v>
      </c>
      <c r="J115" t="inlineStr">
        <is>
          <t>Indicação</t>
        </is>
      </c>
      <c r="K115" t="inlineStr">
        <is>
          <t>Camila</t>
        </is>
      </c>
      <c r="L115" t="inlineStr">
        <is>
          <t>Cartão</t>
        </is>
      </c>
    </row>
    <row r="116">
      <c r="A116" s="13" t="n">
        <v>46275</v>
      </c>
      <c r="B116" t="inlineStr">
        <is>
          <t>VD-1112</t>
        </is>
      </c>
      <c r="C116" t="inlineStr">
        <is>
          <t>Larissa Gomes</t>
        </is>
      </c>
      <c r="D116" t="inlineStr">
        <is>
          <t>Poltrona Siena</t>
        </is>
      </c>
      <c r="E116" t="inlineStr">
        <is>
          <t>Móveis</t>
        </is>
      </c>
      <c r="F116" t="n">
        <v>1</v>
      </c>
      <c r="G116" s="7" t="n">
        <v>1290</v>
      </c>
      <c r="H116" s="14" t="n">
        <v>0.05</v>
      </c>
      <c r="I116" s="7" t="n">
        <v>1225.5</v>
      </c>
      <c r="J116" t="inlineStr">
        <is>
          <t>Google</t>
        </is>
      </c>
      <c r="K116" t="inlineStr">
        <is>
          <t>Camila</t>
        </is>
      </c>
      <c r="L116" t="inlineStr">
        <is>
          <t>Pix</t>
        </is>
      </c>
    </row>
    <row r="117">
      <c r="A117" s="13" t="n">
        <v>46106</v>
      </c>
      <c r="B117" t="inlineStr">
        <is>
          <t>VD-1113</t>
        </is>
      </c>
      <c r="C117" t="inlineStr">
        <is>
          <t>Eduardo Nunes</t>
        </is>
      </c>
      <c r="D117" t="inlineStr">
        <is>
          <t>Vaso Terra</t>
        </is>
      </c>
      <c r="E117" t="inlineStr">
        <is>
          <t>Decoração</t>
        </is>
      </c>
      <c r="F117" t="n">
        <v>1</v>
      </c>
      <c r="G117" s="7" t="n">
        <v>189</v>
      </c>
      <c r="H117" s="14" t="n">
        <v>0.05</v>
      </c>
      <c r="I117" s="7" t="n">
        <v>179.55</v>
      </c>
      <c r="J117" t="inlineStr">
        <is>
          <t>WhatsApp</t>
        </is>
      </c>
      <c r="K117" t="inlineStr">
        <is>
          <t>Camila</t>
        </is>
      </c>
      <c r="L117" t="inlineStr">
        <is>
          <t>Pix</t>
        </is>
      </c>
    </row>
    <row r="118">
      <c r="A118" s="13" t="n">
        <v>46256</v>
      </c>
      <c r="B118" t="inlineStr">
        <is>
          <t>VD-1114</t>
        </is>
      </c>
      <c r="C118" t="inlineStr">
        <is>
          <t>Lucas Ferreira</t>
        </is>
      </c>
      <c r="D118" t="inlineStr">
        <is>
          <t>Poltrona Siena</t>
        </is>
      </c>
      <c r="E118" t="inlineStr">
        <is>
          <t>Móveis</t>
        </is>
      </c>
      <c r="F118" t="n">
        <v>1</v>
      </c>
      <c r="G118" s="7" t="n">
        <v>1290</v>
      </c>
      <c r="H118" s="14" t="n">
        <v>0.03</v>
      </c>
      <c r="I118" s="7" t="n">
        <v>1251.3</v>
      </c>
      <c r="J118" t="inlineStr">
        <is>
          <t>WhatsApp</t>
        </is>
      </c>
      <c r="K118" t="inlineStr">
        <is>
          <t>Camila</t>
        </is>
      </c>
      <c r="L118" t="inlineStr">
        <is>
          <t>Pix</t>
        </is>
      </c>
    </row>
    <row r="119">
      <c r="A119" s="13" t="n">
        <v>46260</v>
      </c>
      <c r="B119" t="inlineStr">
        <is>
          <t>VD-1115</t>
        </is>
      </c>
      <c r="C119" t="inlineStr">
        <is>
          <t>Bruno Carvalho</t>
        </is>
      </c>
      <c r="D119" t="inlineStr">
        <is>
          <t>Quadro Horizonte</t>
        </is>
      </c>
      <c r="E119" t="inlineStr">
        <is>
          <t>Decoração</t>
        </is>
      </c>
      <c r="F119" t="n">
        <v>1</v>
      </c>
      <c r="G119" s="7" t="n">
        <v>299</v>
      </c>
      <c r="H119" s="14" t="n">
        <v>0.08</v>
      </c>
      <c r="I119" s="7" t="n">
        <v>275.08</v>
      </c>
      <c r="J119" t="inlineStr">
        <is>
          <t>Site</t>
        </is>
      </c>
      <c r="K119" t="inlineStr">
        <is>
          <t>Rafael</t>
        </is>
      </c>
      <c r="L119" t="inlineStr">
        <is>
          <t>Boleto</t>
        </is>
      </c>
    </row>
    <row r="120">
      <c r="A120" s="13" t="n">
        <v>46250</v>
      </c>
      <c r="B120" t="inlineStr">
        <is>
          <t>VD-1116</t>
        </is>
      </c>
      <c r="C120" t="inlineStr">
        <is>
          <t>Beatriz Souza</t>
        </is>
      </c>
      <c r="D120" t="inlineStr">
        <is>
          <t>Mesa Nórdica</t>
        </is>
      </c>
      <c r="E120" t="inlineStr">
        <is>
          <t>Móveis</t>
        </is>
      </c>
      <c r="F120" t="n">
        <v>1</v>
      </c>
      <c r="G120" s="7" t="n">
        <v>1890</v>
      </c>
      <c r="H120" s="14" t="n">
        <v>0.08</v>
      </c>
      <c r="I120" s="7" t="n">
        <v>1738.8</v>
      </c>
      <c r="J120" t="inlineStr">
        <is>
          <t>Google</t>
        </is>
      </c>
      <c r="K120" t="inlineStr">
        <is>
          <t>Rafael</t>
        </is>
      </c>
      <c r="L120" t="inlineStr">
        <is>
          <t>Boleto</t>
        </is>
      </c>
    </row>
    <row r="121">
      <c r="A121" s="13" t="n">
        <v>46272</v>
      </c>
      <c r="B121" t="inlineStr">
        <is>
          <t>VD-1117</t>
        </is>
      </c>
      <c r="C121" t="inlineStr">
        <is>
          <t>Felipe Mendes</t>
        </is>
      </c>
      <c r="D121" t="inlineStr">
        <is>
          <t>Poltrona Siena</t>
        </is>
      </c>
      <c r="E121" t="inlineStr">
        <is>
          <t>Móveis</t>
        </is>
      </c>
      <c r="F121" t="n">
        <v>1</v>
      </c>
      <c r="G121" s="7" t="n">
        <v>1290</v>
      </c>
      <c r="H121" s="14" t="n">
        <v>0.08</v>
      </c>
      <c r="I121" s="7" t="n">
        <v>1186.8</v>
      </c>
      <c r="J121" t="inlineStr">
        <is>
          <t>Indicação</t>
        </is>
      </c>
      <c r="K121" t="inlineStr">
        <is>
          <t>Rafael</t>
        </is>
      </c>
      <c r="L121" t="inlineStr">
        <is>
          <t>Boleto</t>
        </is>
      </c>
    </row>
    <row r="122">
      <c r="A122" s="13" t="n">
        <v>46031</v>
      </c>
      <c r="B122" t="inlineStr">
        <is>
          <t>VD-1118</t>
        </is>
      </c>
      <c r="C122" t="inlineStr">
        <is>
          <t>Lucas Ferreira</t>
        </is>
      </c>
      <c r="D122" t="inlineStr">
        <is>
          <t>Luminária Cora</t>
        </is>
      </c>
      <c r="E122" t="inlineStr">
        <is>
          <t>Iluminação</t>
        </is>
      </c>
      <c r="F122" t="n">
        <v>1</v>
      </c>
      <c r="G122" s="7" t="n">
        <v>459</v>
      </c>
      <c r="H122" s="14" t="n">
        <v>0</v>
      </c>
      <c r="I122" s="7" t="n">
        <v>459</v>
      </c>
      <c r="J122" t="inlineStr">
        <is>
          <t>WhatsApp</t>
        </is>
      </c>
      <c r="K122" t="inlineStr">
        <is>
          <t>Marina</t>
        </is>
      </c>
      <c r="L122" t="inlineStr">
        <is>
          <t>Boleto</t>
        </is>
      </c>
    </row>
    <row r="123">
      <c r="A123" s="13" t="n">
        <v>46102</v>
      </c>
      <c r="B123" t="inlineStr">
        <is>
          <t>VD-1119</t>
        </is>
      </c>
      <c r="C123" t="inlineStr">
        <is>
          <t>Sofia Teixeira</t>
        </is>
      </c>
      <c r="D123" t="inlineStr">
        <is>
          <t>Banqueta Nilo</t>
        </is>
      </c>
      <c r="E123" t="inlineStr">
        <is>
          <t>Móveis</t>
        </is>
      </c>
      <c r="F123" t="n">
        <v>2</v>
      </c>
      <c r="G123" s="7" t="n">
        <v>690</v>
      </c>
      <c r="H123" s="14" t="n">
        <v>0.03</v>
      </c>
      <c r="I123" s="7" t="n">
        <v>1338.6</v>
      </c>
      <c r="J123" t="inlineStr">
        <is>
          <t>Google</t>
        </is>
      </c>
      <c r="K123" t="inlineStr">
        <is>
          <t>Rafael</t>
        </is>
      </c>
      <c r="L123" t="inlineStr">
        <is>
          <t>Cartão</t>
        </is>
      </c>
    </row>
    <row r="124">
      <c r="A124" s="13" t="n">
        <v>46265</v>
      </c>
      <c r="B124" t="inlineStr">
        <is>
          <t>VD-1120</t>
        </is>
      </c>
      <c r="C124" t="inlineStr">
        <is>
          <t>Isabela Dias</t>
        </is>
      </c>
      <c r="D124" t="inlineStr">
        <is>
          <t>Espelho Arco</t>
        </is>
      </c>
      <c r="E124" t="inlineStr">
        <is>
          <t>Decoração</t>
        </is>
      </c>
      <c r="F124" t="n">
        <v>1</v>
      </c>
      <c r="G124" s="7" t="n">
        <v>549</v>
      </c>
      <c r="H124" s="14" t="n">
        <v>0</v>
      </c>
      <c r="I124" s="7" t="n">
        <v>549</v>
      </c>
      <c r="J124" t="inlineStr">
        <is>
          <t>Indicação</t>
        </is>
      </c>
      <c r="K124" t="inlineStr">
        <is>
          <t>Camila</t>
        </is>
      </c>
      <c r="L124" t="inlineStr">
        <is>
          <t>Boleto</t>
        </is>
      </c>
    </row>
  </sheetData>
  <mergeCells count="1">
    <mergeCell ref="A1:L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73F3A"/>
    <outlinePr summaryBelow="1" summaryRight="1"/>
    <pageSetUpPr/>
  </sheetPr>
  <dimension ref="A1:I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22" customWidth="1" min="4" max="4"/>
    <col width="15" customWidth="1" min="5" max="5"/>
    <col width="20" customWidth="1" min="6" max="6"/>
    <col width="18" customWidth="1" min="7" max="7"/>
    <col width="18" customWidth="1" min="8" max="8"/>
    <col width="15" customWidth="1" min="9" max="9"/>
  </cols>
  <sheetData>
    <row r="1">
      <c r="A1" s="10" t="inlineStr">
        <is>
          <t>NOVALE Casa &amp; Design | Base de clientes</t>
        </is>
      </c>
    </row>
    <row r="2"/>
    <row r="4">
      <c r="A4" s="12" t="inlineStr">
        <is>
          <t>ID</t>
        </is>
      </c>
      <c r="B4" s="12" t="inlineStr">
        <is>
          <t>Cliente</t>
        </is>
      </c>
      <c r="C4" s="12" t="inlineStr">
        <is>
          <t>E-mail</t>
        </is>
      </c>
      <c r="D4" s="12" t="inlineStr">
        <is>
          <t>Cidade</t>
        </is>
      </c>
      <c r="E4" s="12" t="inlineStr">
        <is>
          <t>Origem</t>
        </is>
      </c>
      <c r="F4" s="12" t="inlineStr">
        <is>
          <t>Status</t>
        </is>
      </c>
      <c r="G4" s="12" t="inlineStr">
        <is>
          <t>Interesse</t>
        </is>
      </c>
      <c r="H4" s="12" t="inlineStr">
        <is>
          <t>Valor acumulado</t>
        </is>
      </c>
      <c r="I4" s="12" t="inlineStr">
        <is>
          <t>Última compra</t>
        </is>
      </c>
    </row>
    <row r="5">
      <c r="A5" t="inlineStr">
        <is>
          <t>CL-1001</t>
        </is>
      </c>
      <c r="B5" t="inlineStr">
        <is>
          <t>Mariana Alves</t>
        </is>
      </c>
      <c r="C5" t="inlineStr">
        <is>
          <t>mariana.alves@email.com</t>
        </is>
      </c>
      <c r="D5" t="inlineStr">
        <is>
          <t>São José dos Pinhais</t>
        </is>
      </c>
      <c r="E5" t="inlineStr">
        <is>
          <t>Instagram</t>
        </is>
      </c>
      <c r="F5" t="inlineStr">
        <is>
          <t>Ativo</t>
        </is>
      </c>
      <c r="G5" t="inlineStr">
        <is>
          <t>Têxtil</t>
        </is>
      </c>
      <c r="H5" s="7" t="n">
        <v>3134</v>
      </c>
      <c r="I5" s="13" t="n">
        <v>46143</v>
      </c>
    </row>
    <row r="6">
      <c r="A6" t="inlineStr">
        <is>
          <t>CL-1002</t>
        </is>
      </c>
      <c r="B6" t="inlineStr">
        <is>
          <t>Rafael Martins</t>
        </is>
      </c>
      <c r="C6" t="inlineStr">
        <is>
          <t>rafael.martins@email.com</t>
        </is>
      </c>
      <c r="D6" t="inlineStr">
        <is>
          <t>Colombo</t>
        </is>
      </c>
      <c r="E6" t="inlineStr">
        <is>
          <t>Google</t>
        </is>
      </c>
      <c r="F6" t="inlineStr">
        <is>
          <t>Inativo</t>
        </is>
      </c>
      <c r="G6" t="inlineStr">
        <is>
          <t>Têxtil</t>
        </is>
      </c>
      <c r="H6" s="7" t="n">
        <v>1567</v>
      </c>
      <c r="I6" s="13" t="n">
        <v>46252</v>
      </c>
    </row>
    <row r="7">
      <c r="A7" t="inlineStr">
        <is>
          <t>CL-1003</t>
        </is>
      </c>
      <c r="B7" t="inlineStr">
        <is>
          <t>Camila Rocha</t>
        </is>
      </c>
      <c r="C7" t="inlineStr">
        <is>
          <t>camila.rocha@email.com</t>
        </is>
      </c>
      <c r="D7" t="inlineStr">
        <is>
          <t>Pinhais</t>
        </is>
      </c>
      <c r="E7" t="inlineStr">
        <is>
          <t>Google</t>
        </is>
      </c>
      <c r="F7" t="inlineStr">
        <is>
          <t>Ativo</t>
        </is>
      </c>
      <c r="G7" t="inlineStr">
        <is>
          <t>Têxtil</t>
        </is>
      </c>
      <c r="H7" s="7" t="n">
        <v>4080</v>
      </c>
      <c r="I7" s="13" t="n">
        <v>46180</v>
      </c>
    </row>
    <row r="8">
      <c r="A8" t="inlineStr">
        <is>
          <t>CL-1004</t>
        </is>
      </c>
      <c r="B8" t="inlineStr">
        <is>
          <t>Lucas Ferreira</t>
        </is>
      </c>
      <c r="C8" t="inlineStr">
        <is>
          <t>lucas.ferreira@email.com</t>
        </is>
      </c>
      <c r="D8" t="inlineStr">
        <is>
          <t>São José dos Pinhais</t>
        </is>
      </c>
      <c r="E8" t="inlineStr">
        <is>
          <t>Site</t>
        </is>
      </c>
      <c r="F8" t="inlineStr">
        <is>
          <t>Em acompanhamento</t>
        </is>
      </c>
      <c r="G8" t="inlineStr">
        <is>
          <t>Decoração</t>
        </is>
      </c>
      <c r="H8" s="7" t="n">
        <v>6703</v>
      </c>
      <c r="I8" s="13" t="n">
        <v>46205</v>
      </c>
    </row>
    <row r="9">
      <c r="A9" t="inlineStr">
        <is>
          <t>CL-1005</t>
        </is>
      </c>
      <c r="B9" t="inlineStr">
        <is>
          <t>Beatriz Souza</t>
        </is>
      </c>
      <c r="C9" t="inlineStr">
        <is>
          <t>beatriz.souza@email.com</t>
        </is>
      </c>
      <c r="D9" t="inlineStr">
        <is>
          <t>Colombo</t>
        </is>
      </c>
      <c r="E9" t="inlineStr">
        <is>
          <t>WhatsApp</t>
        </is>
      </c>
      <c r="F9" t="inlineStr">
        <is>
          <t>Em acompanhamento</t>
        </is>
      </c>
      <c r="G9" t="inlineStr">
        <is>
          <t>Têxtil</t>
        </is>
      </c>
      <c r="H9" s="7" t="n">
        <v>5786</v>
      </c>
      <c r="I9" s="13" t="n">
        <v>46097</v>
      </c>
    </row>
    <row r="10">
      <c r="A10" t="inlineStr">
        <is>
          <t>CL-1006</t>
        </is>
      </c>
      <c r="B10" t="inlineStr">
        <is>
          <t>Gabriel Costa</t>
        </is>
      </c>
      <c r="C10" t="inlineStr">
        <is>
          <t>gabriel.costa@email.com</t>
        </is>
      </c>
      <c r="D10" t="inlineStr">
        <is>
          <t>Curitiba</t>
        </is>
      </c>
      <c r="E10" t="inlineStr">
        <is>
          <t>Indicação</t>
        </is>
      </c>
      <c r="F10" t="inlineStr">
        <is>
          <t>Inativo</t>
        </is>
      </c>
      <c r="G10" t="inlineStr">
        <is>
          <t>Iluminação</t>
        </is>
      </c>
      <c r="H10" s="7" t="n">
        <v>1172</v>
      </c>
      <c r="I10" s="13" t="n">
        <v>46238</v>
      </c>
    </row>
    <row r="11">
      <c r="A11" t="inlineStr">
        <is>
          <t>CL-1007</t>
        </is>
      </c>
      <c r="B11" t="inlineStr">
        <is>
          <t>Ana Clara Lima</t>
        </is>
      </c>
      <c r="C11" t="inlineStr">
        <is>
          <t>ana.clara.lima@email.com</t>
        </is>
      </c>
      <c r="D11" t="inlineStr">
        <is>
          <t>Araucária</t>
        </is>
      </c>
      <c r="E11" t="inlineStr">
        <is>
          <t>WhatsApp</t>
        </is>
      </c>
      <c r="F11" t="inlineStr">
        <is>
          <t>Ativo</t>
        </is>
      </c>
      <c r="G11" t="inlineStr">
        <is>
          <t>Decoração</t>
        </is>
      </c>
      <c r="H11" s="7" t="n">
        <v>3708</v>
      </c>
      <c r="I11" s="13" t="n">
        <v>46084</v>
      </c>
    </row>
    <row r="12">
      <c r="A12" t="inlineStr">
        <is>
          <t>CL-1008</t>
        </is>
      </c>
      <c r="B12" t="inlineStr">
        <is>
          <t>Felipe Mendes</t>
        </is>
      </c>
      <c r="C12" t="inlineStr">
        <is>
          <t>felipe.mendes@email.com</t>
        </is>
      </c>
      <c r="D12" t="inlineStr">
        <is>
          <t>Pinhais</t>
        </is>
      </c>
      <c r="E12" t="inlineStr">
        <is>
          <t>Google</t>
        </is>
      </c>
      <c r="F12" t="inlineStr">
        <is>
          <t>Ativo</t>
        </is>
      </c>
      <c r="G12" t="inlineStr">
        <is>
          <t>Têxtil</t>
        </is>
      </c>
      <c r="H12" s="7" t="n">
        <v>5673</v>
      </c>
      <c r="I12" s="13" t="n">
        <v>46064</v>
      </c>
    </row>
    <row r="13">
      <c r="A13" t="inlineStr">
        <is>
          <t>CL-1009</t>
        </is>
      </c>
      <c r="B13" t="inlineStr">
        <is>
          <t>Juliana Ribeiro</t>
        </is>
      </c>
      <c r="C13" t="inlineStr">
        <is>
          <t>juliana.ribeiro@email.com</t>
        </is>
      </c>
      <c r="D13" t="inlineStr">
        <is>
          <t>Araucária</t>
        </is>
      </c>
      <c r="E13" t="inlineStr">
        <is>
          <t>WhatsApp</t>
        </is>
      </c>
      <c r="F13" t="inlineStr">
        <is>
          <t>Ativo</t>
        </is>
      </c>
      <c r="G13" t="inlineStr">
        <is>
          <t>Têxtil</t>
        </is>
      </c>
      <c r="H13" s="7" t="n">
        <v>4782</v>
      </c>
      <c r="I13" s="13" t="n">
        <v>46042</v>
      </c>
    </row>
    <row r="14">
      <c r="A14" t="inlineStr">
        <is>
          <t>CL-1010</t>
        </is>
      </c>
      <c r="B14" t="inlineStr">
        <is>
          <t>Eduardo Nunes</t>
        </is>
      </c>
      <c r="C14" t="inlineStr">
        <is>
          <t>eduardo.nunes@email.com</t>
        </is>
      </c>
      <c r="D14" t="inlineStr">
        <is>
          <t>Curitiba</t>
        </is>
      </c>
      <c r="E14" t="inlineStr">
        <is>
          <t>Indicação</t>
        </is>
      </c>
      <c r="F14" t="inlineStr">
        <is>
          <t>Ativo</t>
        </is>
      </c>
      <c r="G14" t="inlineStr">
        <is>
          <t>Decoração</t>
        </is>
      </c>
      <c r="H14" s="7" t="n">
        <v>6467</v>
      </c>
      <c r="I14" s="13" t="n">
        <v>46067</v>
      </c>
    </row>
    <row r="15">
      <c r="A15" t="inlineStr">
        <is>
          <t>CL-1011</t>
        </is>
      </c>
      <c r="B15" t="inlineStr">
        <is>
          <t>Larissa Gomes</t>
        </is>
      </c>
      <c r="C15" t="inlineStr">
        <is>
          <t>larissa.gomes@email.com</t>
        </is>
      </c>
      <c r="D15" t="inlineStr">
        <is>
          <t>Curitiba</t>
        </is>
      </c>
      <c r="E15" t="inlineStr">
        <is>
          <t>Instagram</t>
        </is>
      </c>
      <c r="F15" t="inlineStr">
        <is>
          <t>Em acompanhamento</t>
        </is>
      </c>
      <c r="G15" t="inlineStr">
        <is>
          <t>Decoração</t>
        </is>
      </c>
      <c r="H15" s="7" t="n">
        <v>6035</v>
      </c>
      <c r="I15" s="13" t="n">
        <v>46143</v>
      </c>
    </row>
    <row r="16">
      <c r="A16" t="inlineStr">
        <is>
          <t>CL-1012</t>
        </is>
      </c>
      <c r="B16" t="inlineStr">
        <is>
          <t>Bruno Carvalho</t>
        </is>
      </c>
      <c r="C16" t="inlineStr">
        <is>
          <t>bruno.carvalho@email.com</t>
        </is>
      </c>
      <c r="D16" t="inlineStr">
        <is>
          <t>Curitiba</t>
        </is>
      </c>
      <c r="E16" t="inlineStr">
        <is>
          <t>Google</t>
        </is>
      </c>
      <c r="F16" t="inlineStr">
        <is>
          <t>Ativo</t>
        </is>
      </c>
      <c r="G16" t="inlineStr">
        <is>
          <t>Iluminação</t>
        </is>
      </c>
      <c r="H16" s="7" t="n">
        <v>3286</v>
      </c>
      <c r="I16" s="13" t="n">
        <v>46187</v>
      </c>
    </row>
    <row r="17">
      <c r="A17" t="inlineStr">
        <is>
          <t>CL-1013</t>
        </is>
      </c>
      <c r="B17" t="inlineStr">
        <is>
          <t>Isabela Dias</t>
        </is>
      </c>
      <c r="C17" t="inlineStr">
        <is>
          <t>isabela.dias@email.com</t>
        </is>
      </c>
      <c r="D17" t="inlineStr">
        <is>
          <t>São José dos Pinhais</t>
        </is>
      </c>
      <c r="E17" t="inlineStr">
        <is>
          <t>Indicação</t>
        </is>
      </c>
      <c r="F17" t="inlineStr">
        <is>
          <t>Inativo</t>
        </is>
      </c>
      <c r="G17" t="inlineStr">
        <is>
          <t>Têxtil</t>
        </is>
      </c>
      <c r="H17" s="7" t="n">
        <v>4986</v>
      </c>
      <c r="I17" s="13" t="n">
        <v>46087</v>
      </c>
    </row>
    <row r="18">
      <c r="A18" t="inlineStr">
        <is>
          <t>CL-1014</t>
        </is>
      </c>
      <c r="B18" t="inlineStr">
        <is>
          <t>Thiago Oliveira</t>
        </is>
      </c>
      <c r="C18" t="inlineStr">
        <is>
          <t>thiago.oliveira@email.com</t>
        </is>
      </c>
      <c r="D18" t="inlineStr">
        <is>
          <t>São José dos Pinhais</t>
        </is>
      </c>
      <c r="E18" t="inlineStr">
        <is>
          <t>Instagram</t>
        </is>
      </c>
      <c r="F18" t="inlineStr">
        <is>
          <t>Inativo</t>
        </is>
      </c>
      <c r="G18" t="inlineStr">
        <is>
          <t>Têxtil</t>
        </is>
      </c>
      <c r="H18" s="7" t="n">
        <v>5426</v>
      </c>
      <c r="I18" s="13" t="n">
        <v>46128</v>
      </c>
    </row>
    <row r="19">
      <c r="A19" t="inlineStr">
        <is>
          <t>CL-1015</t>
        </is>
      </c>
      <c r="B19" t="inlineStr">
        <is>
          <t>Manuela Freitas</t>
        </is>
      </c>
      <c r="C19" t="inlineStr">
        <is>
          <t>manuela.freitas@email.com</t>
        </is>
      </c>
      <c r="D19" t="inlineStr">
        <is>
          <t>Araucária</t>
        </is>
      </c>
      <c r="E19" t="inlineStr">
        <is>
          <t>Indicação</t>
        </is>
      </c>
      <c r="F19" t="inlineStr">
        <is>
          <t>Ativo</t>
        </is>
      </c>
      <c r="G19" t="inlineStr">
        <is>
          <t>Têxtil</t>
        </is>
      </c>
      <c r="H19" s="7" t="n">
        <v>5575</v>
      </c>
      <c r="I19" s="13" t="n">
        <v>46157</v>
      </c>
    </row>
    <row r="20">
      <c r="A20" t="inlineStr">
        <is>
          <t>CL-1016</t>
        </is>
      </c>
      <c r="B20" t="inlineStr">
        <is>
          <t>Caio Barros</t>
        </is>
      </c>
      <c r="C20" t="inlineStr">
        <is>
          <t>caio.barros@email.com</t>
        </is>
      </c>
      <c r="D20" t="inlineStr">
        <is>
          <t>Colombo</t>
        </is>
      </c>
      <c r="E20" t="inlineStr">
        <is>
          <t>Instagram</t>
        </is>
      </c>
      <c r="F20" t="inlineStr">
        <is>
          <t>Em acompanhamento</t>
        </is>
      </c>
      <c r="G20" t="inlineStr">
        <is>
          <t>Iluminação</t>
        </is>
      </c>
      <c r="H20" s="7" t="n">
        <v>5900</v>
      </c>
      <c r="I20" s="13" t="n">
        <v>46084</v>
      </c>
    </row>
    <row r="21">
      <c r="A21" t="inlineStr">
        <is>
          <t>CL-1017</t>
        </is>
      </c>
      <c r="B21" t="inlineStr">
        <is>
          <t>Sofia Teixeira</t>
        </is>
      </c>
      <c r="C21" t="inlineStr">
        <is>
          <t>sofia.teixeira@email.com</t>
        </is>
      </c>
      <c r="D21" t="inlineStr">
        <is>
          <t>Pinhais</t>
        </is>
      </c>
      <c r="E21" t="inlineStr">
        <is>
          <t>Google</t>
        </is>
      </c>
      <c r="F21" t="inlineStr">
        <is>
          <t>Inativo</t>
        </is>
      </c>
      <c r="G21" t="inlineStr">
        <is>
          <t>Iluminação</t>
        </is>
      </c>
      <c r="H21" s="7" t="n">
        <v>5584</v>
      </c>
      <c r="I21" s="13" t="n">
        <v>46226</v>
      </c>
    </row>
    <row r="22">
      <c r="A22" t="inlineStr">
        <is>
          <t>CL-1018</t>
        </is>
      </c>
      <c r="B22" t="inlineStr">
        <is>
          <t>Henrique Ramos</t>
        </is>
      </c>
      <c r="C22" t="inlineStr">
        <is>
          <t>henrique.ramos@email.com</t>
        </is>
      </c>
      <c r="D22" t="inlineStr">
        <is>
          <t>Colombo</t>
        </is>
      </c>
      <c r="E22" t="inlineStr">
        <is>
          <t>WhatsApp</t>
        </is>
      </c>
      <c r="F22" t="inlineStr">
        <is>
          <t>Ativo</t>
        </is>
      </c>
      <c r="G22" t="inlineStr">
        <is>
          <t>Decoração</t>
        </is>
      </c>
      <c r="H22" s="7" t="n">
        <v>3501</v>
      </c>
      <c r="I22" s="13" t="n">
        <v>46238</v>
      </c>
    </row>
    <row r="23">
      <c r="A23" t="inlineStr">
        <is>
          <t>CL-1019</t>
        </is>
      </c>
      <c r="B23" t="inlineStr">
        <is>
          <t>Valentina Moura</t>
        </is>
      </c>
      <c r="C23" t="inlineStr">
        <is>
          <t>valentina.moura@email.com</t>
        </is>
      </c>
      <c r="D23" t="inlineStr">
        <is>
          <t>São José dos Pinhais</t>
        </is>
      </c>
      <c r="E23" t="inlineStr">
        <is>
          <t>WhatsApp</t>
        </is>
      </c>
      <c r="F23" t="inlineStr">
        <is>
          <t>Inativo</t>
        </is>
      </c>
      <c r="G23" t="inlineStr">
        <is>
          <t>Iluminação</t>
        </is>
      </c>
      <c r="H23" s="7" t="n">
        <v>5058</v>
      </c>
      <c r="I23" s="13" t="n">
        <v>46165</v>
      </c>
    </row>
    <row r="24">
      <c r="A24" t="inlineStr">
        <is>
          <t>CL-1020</t>
        </is>
      </c>
      <c r="B24" t="inlineStr">
        <is>
          <t>Pedro Henrique</t>
        </is>
      </c>
      <c r="C24" t="inlineStr">
        <is>
          <t>pedro.henrique@email.com</t>
        </is>
      </c>
      <c r="D24" t="inlineStr">
        <is>
          <t>Colombo</t>
        </is>
      </c>
      <c r="E24" t="inlineStr">
        <is>
          <t>Instagram</t>
        </is>
      </c>
      <c r="F24" t="inlineStr">
        <is>
          <t>Em acompanhamento</t>
        </is>
      </c>
      <c r="G24" t="inlineStr">
        <is>
          <t>Iluminação</t>
        </is>
      </c>
      <c r="H24" s="7" t="n">
        <v>416</v>
      </c>
      <c r="I24" s="13" t="n">
        <v>46042</v>
      </c>
    </row>
  </sheetData>
  <mergeCells count="1">
    <mergeCell ref="A1:I2"/>
  </mergeCells>
  <dataValidations count="1">
    <dataValidation sqref="F5:F24" showDropDown="0" showInputMessage="0" showErrorMessage="0" allowBlank="0" type="list">
      <formula1>"Ativo,Em acompanhamento,Inativo"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73F3A"/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5" customWidth="1" min="3" max="3"/>
    <col width="12" customWidth="1" min="4" max="4"/>
    <col width="15" customWidth="1" min="5" max="5"/>
  </cols>
  <sheetData>
    <row r="1">
      <c r="A1" s="10" t="inlineStr">
        <is>
          <t>NOVALE Casa &amp; Design | Produtos e estoque</t>
        </is>
      </c>
    </row>
    <row r="2"/>
    <row r="4">
      <c r="A4" s="12" t="inlineStr">
        <is>
          <t>Produto</t>
        </is>
      </c>
      <c r="B4" s="12" t="inlineStr">
        <is>
          <t>Categoria</t>
        </is>
      </c>
      <c r="C4" s="12" t="inlineStr">
        <is>
          <t>Preço</t>
        </is>
      </c>
      <c r="D4" s="12" t="inlineStr">
        <is>
          <t>Estoque</t>
        </is>
      </c>
      <c r="E4" s="12" t="inlineStr">
        <is>
          <t>Status</t>
        </is>
      </c>
    </row>
    <row r="5">
      <c r="A5" t="inlineStr">
        <is>
          <t>Mesa Nórdica</t>
        </is>
      </c>
      <c r="B5" t="inlineStr">
        <is>
          <t>Móveis</t>
        </is>
      </c>
      <c r="C5" s="7" t="n">
        <v>1890</v>
      </c>
      <c r="D5" t="n">
        <v>8</v>
      </c>
      <c r="E5" t="inlineStr">
        <is>
          <t>Normal</t>
        </is>
      </c>
    </row>
    <row r="6">
      <c r="A6" t="inlineStr">
        <is>
          <t>Poltrona Siena</t>
        </is>
      </c>
      <c r="B6" t="inlineStr">
        <is>
          <t>Móveis</t>
        </is>
      </c>
      <c r="C6" s="7" t="n">
        <v>1290</v>
      </c>
      <c r="D6" t="n">
        <v>12</v>
      </c>
      <c r="E6" t="inlineStr">
        <is>
          <t>Normal</t>
        </is>
      </c>
    </row>
    <row r="7">
      <c r="A7" t="inlineStr">
        <is>
          <t>Luminária Aura</t>
        </is>
      </c>
      <c r="B7" t="inlineStr">
        <is>
          <t>Iluminação</t>
        </is>
      </c>
      <c r="C7" s="7" t="n">
        <v>389</v>
      </c>
      <c r="D7" t="n">
        <v>18</v>
      </c>
      <c r="E7" t="inlineStr">
        <is>
          <t>Normal</t>
        </is>
      </c>
    </row>
    <row r="8">
      <c r="A8" t="inlineStr">
        <is>
          <t>Espelho Arco</t>
        </is>
      </c>
      <c r="B8" t="inlineStr">
        <is>
          <t>Decoração</t>
        </is>
      </c>
      <c r="C8" s="7" t="n">
        <v>549</v>
      </c>
      <c r="D8" t="n">
        <v>9</v>
      </c>
      <c r="E8" t="inlineStr">
        <is>
          <t>Normal</t>
        </is>
      </c>
    </row>
    <row r="9">
      <c r="A9" t="inlineStr">
        <is>
          <t>Aparador Íris</t>
        </is>
      </c>
      <c r="B9" t="inlineStr">
        <is>
          <t>Móveis</t>
        </is>
      </c>
      <c r="C9" s="7" t="n">
        <v>1490</v>
      </c>
      <c r="D9" t="n">
        <v>6</v>
      </c>
      <c r="E9" t="inlineStr">
        <is>
          <t>Repor</t>
        </is>
      </c>
    </row>
    <row r="10">
      <c r="A10" t="inlineStr">
        <is>
          <t>Vaso Terra</t>
        </is>
      </c>
      <c r="B10" t="inlineStr">
        <is>
          <t>Decoração</t>
        </is>
      </c>
      <c r="C10" s="7" t="n">
        <v>189</v>
      </c>
      <c r="D10" t="n">
        <v>25</v>
      </c>
      <c r="E10" t="inlineStr">
        <is>
          <t>Normal</t>
        </is>
      </c>
    </row>
    <row r="11">
      <c r="A11" t="inlineStr">
        <is>
          <t>Quadro Horizonte</t>
        </is>
      </c>
      <c r="B11" t="inlineStr">
        <is>
          <t>Decoração</t>
        </is>
      </c>
      <c r="C11" s="7" t="n">
        <v>299</v>
      </c>
      <c r="D11" t="n">
        <v>14</v>
      </c>
      <c r="E11" t="inlineStr">
        <is>
          <t>Normal</t>
        </is>
      </c>
    </row>
    <row r="12">
      <c r="A12" t="inlineStr">
        <is>
          <t>Banqueta Nilo</t>
        </is>
      </c>
      <c r="B12" t="inlineStr">
        <is>
          <t>Móveis</t>
        </is>
      </c>
      <c r="C12" s="7" t="n">
        <v>690</v>
      </c>
      <c r="D12" t="n">
        <v>10</v>
      </c>
      <c r="E12" t="inlineStr">
        <is>
          <t>Normal</t>
        </is>
      </c>
    </row>
    <row r="13">
      <c r="A13" t="inlineStr">
        <is>
          <t>Luminária Cora</t>
        </is>
      </c>
      <c r="B13" t="inlineStr">
        <is>
          <t>Iluminação</t>
        </is>
      </c>
      <c r="C13" s="7" t="n">
        <v>459</v>
      </c>
      <c r="D13" t="n">
        <v>7</v>
      </c>
      <c r="E13" t="inlineStr">
        <is>
          <t>Repor</t>
        </is>
      </c>
    </row>
    <row r="14">
      <c r="A14" t="inlineStr">
        <is>
          <t>Tapete Siena</t>
        </is>
      </c>
      <c r="B14" t="inlineStr">
        <is>
          <t>Têxtil</t>
        </is>
      </c>
      <c r="C14" s="7" t="n">
        <v>799</v>
      </c>
      <c r="D14" t="n">
        <v>11</v>
      </c>
      <c r="E14" t="inlineStr">
        <is>
          <t>Normal</t>
        </is>
      </c>
    </row>
  </sheetData>
  <mergeCells count="1">
    <mergeCell ref="A1:E2"/>
  </mergeCells>
  <conditionalFormatting sqref="D5:D14">
    <cfRule type="dataBar" priority="1">
      <dataBar>
        <cfvo type="min"/>
        <cfvo type="max"/>
        <color rgb="002F6F64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173F3A"/>
    <outlinePr summaryBelow="1" summaryRight="1"/>
    <pageSetUpPr/>
  </sheetPr>
  <dimension ref="A1:E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4" customWidth="1" min="5" max="5"/>
  </cols>
  <sheetData>
    <row r="1">
      <c r="A1" s="10" t="inlineStr">
        <is>
          <t>NOVALE Casa &amp; Design | Financeiro mensal</t>
        </is>
      </c>
    </row>
    <row r="2"/>
    <row r="4">
      <c r="A4" s="12" t="inlineStr">
        <is>
          <t>Mês</t>
        </is>
      </c>
      <c r="B4" s="12" t="inlineStr">
        <is>
          <t>Receita</t>
        </is>
      </c>
      <c r="C4" s="12" t="inlineStr">
        <is>
          <t>Despesas</t>
        </is>
      </c>
      <c r="D4" s="12" t="inlineStr">
        <is>
          <t>Resultado</t>
        </is>
      </c>
      <c r="E4" s="12" t="inlineStr">
        <is>
          <t>Margem</t>
        </is>
      </c>
    </row>
    <row r="5">
      <c r="A5" t="inlineStr">
        <is>
          <t>Jan</t>
        </is>
      </c>
      <c r="B5" s="7" t="n">
        <v>38600</v>
      </c>
      <c r="C5" s="7" t="n">
        <v>23800</v>
      </c>
      <c r="D5" s="7" t="n">
        <v>14800</v>
      </c>
      <c r="E5" s="14" t="n">
        <v>0.383419689119171</v>
      </c>
    </row>
    <row r="6">
      <c r="A6" t="inlineStr">
        <is>
          <t>Fev</t>
        </is>
      </c>
      <c r="B6" s="7" t="n">
        <v>42150</v>
      </c>
      <c r="C6" s="7" t="n">
        <v>25100</v>
      </c>
      <c r="D6" s="7" t="n">
        <v>17050</v>
      </c>
      <c r="E6" s="14" t="n">
        <v>0.4045077105575326</v>
      </c>
    </row>
    <row r="7">
      <c r="A7" t="inlineStr">
        <is>
          <t>Mar</t>
        </is>
      </c>
      <c r="B7" s="7" t="n">
        <v>44800</v>
      </c>
      <c r="C7" s="7" t="n">
        <v>26300</v>
      </c>
      <c r="D7" s="7" t="n">
        <v>18500</v>
      </c>
      <c r="E7" s="14" t="n">
        <v>0.4129464285714285</v>
      </c>
    </row>
    <row r="8">
      <c r="A8" t="inlineStr">
        <is>
          <t>Abr</t>
        </is>
      </c>
      <c r="B8" s="7" t="n">
        <v>47300</v>
      </c>
      <c r="C8" s="7" t="n">
        <v>27900</v>
      </c>
      <c r="D8" s="7" t="n">
        <v>19400</v>
      </c>
      <c r="E8" s="14" t="n">
        <v>0.4101479915433404</v>
      </c>
    </row>
    <row r="9">
      <c r="A9" t="inlineStr">
        <is>
          <t>Mai</t>
        </is>
      </c>
      <c r="B9" s="7" t="n">
        <v>51200</v>
      </c>
      <c r="C9" s="7" t="n">
        <v>29100</v>
      </c>
      <c r="D9" s="7" t="n">
        <v>22100</v>
      </c>
      <c r="E9" s="14" t="n">
        <v>0.431640625</v>
      </c>
    </row>
    <row r="10">
      <c r="A10" t="inlineStr">
        <is>
          <t>Jun</t>
        </is>
      </c>
      <c r="B10" s="7" t="n">
        <v>53800</v>
      </c>
      <c r="C10" s="7" t="n">
        <v>30700</v>
      </c>
      <c r="D10" s="7" t="n">
        <v>23100</v>
      </c>
      <c r="E10" s="14" t="n">
        <v>0.4293680297397769</v>
      </c>
    </row>
    <row r="11">
      <c r="A11" t="inlineStr">
        <is>
          <t>Jul</t>
        </is>
      </c>
      <c r="B11" s="7" t="n">
        <v>58400</v>
      </c>
      <c r="C11" s="7" t="n">
        <v>32100</v>
      </c>
      <c r="D11" s="7" t="n">
        <v>26300</v>
      </c>
      <c r="E11" s="14" t="n">
        <v>0.4503424657534247</v>
      </c>
    </row>
    <row r="12">
      <c r="A12" t="inlineStr">
        <is>
          <t>Ago</t>
        </is>
      </c>
      <c r="B12" s="7" t="n">
        <v>61200</v>
      </c>
      <c r="C12" s="7" t="n">
        <v>33500</v>
      </c>
      <c r="D12" s="7" t="n">
        <v>27700</v>
      </c>
      <c r="E12" s="14" t="n">
        <v>0.4526143790849673</v>
      </c>
    </row>
    <row r="13">
      <c r="A13" t="inlineStr">
        <is>
          <t>Set</t>
        </is>
      </c>
      <c r="B13" s="7" t="n">
        <v>65750</v>
      </c>
      <c r="C13" s="7" t="n">
        <v>35100</v>
      </c>
      <c r="D13" s="7" t="n">
        <v>30650</v>
      </c>
      <c r="E13" s="14" t="n">
        <v>0.4661596958174905</v>
      </c>
    </row>
  </sheetData>
  <mergeCells count="1">
    <mergeCell ref="A1:E2"/>
  </mergeCells>
  <conditionalFormatting sqref="D5:D13">
    <cfRule type="colorScale" priority="1">
      <colorScale>
        <cfvo type="min"/>
        <cfvo type="percentile" val="50"/>
        <cfvo type="max"/>
        <color rgb="00F4CCCC"/>
        <color rgb="00FFF2CC"/>
        <color rgb="00D9EAD3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173F3A"/>
    <outlinePr summaryBelow="1" summaryRight="1"/>
    <pageSetUpPr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8" customWidth="1" min="5" max="5"/>
    <col width="18" customWidth="1" min="6" max="6"/>
  </cols>
  <sheetData>
    <row r="1">
      <c r="A1" s="10" t="inlineStr">
        <is>
          <t>NOVALE Casa &amp; Design | Metas e performance</t>
        </is>
      </c>
    </row>
    <row r="2"/>
    <row r="4">
      <c r="A4" s="12" t="inlineStr">
        <is>
          <t>Mês</t>
        </is>
      </c>
      <c r="B4" s="12" t="inlineStr">
        <is>
          <t>Meta</t>
        </is>
      </c>
      <c r="C4" s="12" t="inlineStr">
        <is>
          <t>Realizado</t>
        </is>
      </c>
      <c r="D4" s="12" t="inlineStr">
        <is>
          <t>% da meta</t>
        </is>
      </c>
      <c r="E4" s="12" t="inlineStr">
        <is>
          <t>Despesas</t>
        </is>
      </c>
      <c r="F4" s="12" t="inlineStr">
        <is>
          <t>Resultado</t>
        </is>
      </c>
    </row>
    <row r="5">
      <c r="A5" t="inlineStr">
        <is>
          <t>Jan</t>
        </is>
      </c>
      <c r="B5" s="7" t="n">
        <v>41552</v>
      </c>
      <c r="C5" s="7" t="n">
        <v>38600</v>
      </c>
      <c r="D5" s="14" t="n">
        <v>0.9289564882556797</v>
      </c>
      <c r="E5" s="7" t="n">
        <v>23800</v>
      </c>
      <c r="F5" s="7" t="n">
        <v>14800</v>
      </c>
    </row>
    <row r="6">
      <c r="A6" t="inlineStr">
        <is>
          <t>Fev</t>
        </is>
      </c>
      <c r="B6" s="7" t="n">
        <v>44390</v>
      </c>
      <c r="C6" s="7" t="n">
        <v>42150</v>
      </c>
      <c r="D6" s="14" t="n">
        <v>0.9495381842757378</v>
      </c>
      <c r="E6" s="7" t="n">
        <v>25100</v>
      </c>
      <c r="F6" s="7" t="n">
        <v>17050</v>
      </c>
    </row>
    <row r="7">
      <c r="A7" t="inlineStr">
        <is>
          <t>Mar</t>
        </is>
      </c>
      <c r="B7" s="7" t="n">
        <v>50667</v>
      </c>
      <c r="C7" s="7" t="n">
        <v>44800</v>
      </c>
      <c r="D7" s="14" t="n">
        <v>0.8842047091795449</v>
      </c>
      <c r="E7" s="7" t="n">
        <v>26300</v>
      </c>
      <c r="F7" s="7" t="n">
        <v>18500</v>
      </c>
    </row>
    <row r="8">
      <c r="A8" t="inlineStr">
        <is>
          <t>Abr</t>
        </is>
      </c>
      <c r="B8" s="7" t="n">
        <v>50737</v>
      </c>
      <c r="C8" s="7" t="n">
        <v>47300</v>
      </c>
      <c r="D8" s="14" t="n">
        <v>0.9322585095689536</v>
      </c>
      <c r="E8" s="7" t="n">
        <v>27900</v>
      </c>
      <c r="F8" s="7" t="n">
        <v>19400</v>
      </c>
    </row>
    <row r="9">
      <c r="A9" t="inlineStr">
        <is>
          <t>Mai</t>
        </is>
      </c>
      <c r="B9" s="7" t="n">
        <v>55375</v>
      </c>
      <c r="C9" s="7" t="n">
        <v>51200</v>
      </c>
      <c r="D9" s="14" t="n">
        <v>0.9246049661399548</v>
      </c>
      <c r="E9" s="7" t="n">
        <v>29100</v>
      </c>
      <c r="F9" s="7" t="n">
        <v>22100</v>
      </c>
    </row>
    <row r="10">
      <c r="A10" t="inlineStr">
        <is>
          <t>Jun</t>
        </is>
      </c>
      <c r="B10" s="7" t="n">
        <v>57032</v>
      </c>
      <c r="C10" s="7" t="n">
        <v>53800</v>
      </c>
      <c r="D10" s="14" t="n">
        <v>0.9433300603170151</v>
      </c>
      <c r="E10" s="7" t="n">
        <v>30700</v>
      </c>
      <c r="F10" s="7" t="n">
        <v>23100</v>
      </c>
    </row>
    <row r="11">
      <c r="A11" t="inlineStr">
        <is>
          <t>Jul</t>
        </is>
      </c>
      <c r="B11" s="7" t="n">
        <v>65329</v>
      </c>
      <c r="C11" s="7" t="n">
        <v>58400</v>
      </c>
      <c r="D11" s="14" t="n">
        <v>0.8939368427497743</v>
      </c>
      <c r="E11" s="7" t="n">
        <v>32100</v>
      </c>
      <c r="F11" s="7" t="n">
        <v>26300</v>
      </c>
    </row>
    <row r="12">
      <c r="A12" t="inlineStr">
        <is>
          <t>Ago</t>
        </is>
      </c>
      <c r="B12" s="7" t="n">
        <v>69012</v>
      </c>
      <c r="C12" s="7" t="n">
        <v>61200</v>
      </c>
      <c r="D12" s="14" t="n">
        <v>0.8868022952529995</v>
      </c>
      <c r="E12" s="7" t="n">
        <v>33500</v>
      </c>
      <c r="F12" s="7" t="n">
        <v>27700</v>
      </c>
    </row>
    <row r="13">
      <c r="A13" t="inlineStr">
        <is>
          <t>Set</t>
        </is>
      </c>
      <c r="B13" s="7" t="n">
        <v>70786</v>
      </c>
      <c r="C13" s="7" t="n">
        <v>65750</v>
      </c>
      <c r="D13" s="14" t="n">
        <v>0.9288559884722968</v>
      </c>
      <c r="E13" s="7" t="n">
        <v>35100</v>
      </c>
      <c r="F13" s="7" t="n">
        <v>30650</v>
      </c>
    </row>
  </sheetData>
  <mergeCells count="1">
    <mergeCell ref="A1:F2"/>
  </mergeCells>
  <conditionalFormatting sqref="D5:D13">
    <cfRule type="dataBar" priority="1">
      <dataBar>
        <cfvo type="min"/>
        <cfvo type="max"/>
        <color rgb="00D6A85F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Chrysxxz Digital</dc:creator>
  <dc:title xmlns:dc="http://purl.org/dc/elements/1.1/">NOVALE Casa &amp; Design | Dashboard Executivo</dc:title>
  <dc:subject xmlns:dc="http://purl.org/dc/elements/1.1/">Planilha demonstrativa de gestão empresarial</dc:subject>
  <dcterms:created xmlns:dcterms="http://purl.org/dc/terms/" xmlns:xsi="http://www.w3.org/2001/XMLSchema-instance" xsi:type="dcterms:W3CDTF">2026-09-30T23:28:35Z</dcterms:created>
  <dcterms:modified xmlns:dcterms="http://purl.org/dc/terms/" xmlns:xsi="http://www.w3.org/2001/XMLSchema-instance" xsi:type="dcterms:W3CDTF">2026-09-30T23:28:35Z</dcterms:modified>
</cp:coreProperties>
</file>